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tables/table7.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tables/table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DELL-USER\OneDrive\Desktop\Data Analysis tool\"/>
    </mc:Choice>
  </mc:AlternateContent>
  <xr:revisionPtr revIDLastSave="0" documentId="13_ncr:1_{E7D74978-7BDA-4F7A-ACE3-1254B2CA26E2}" xr6:coauthVersionLast="47" xr6:coauthVersionMax="47" xr10:uidLastSave="{00000000-0000-0000-0000-000000000000}"/>
  <bookViews>
    <workbookView xWindow="-96" yWindow="-96" windowWidth="23232" windowHeight="12552" activeTab="8" xr2:uid="{299713D4-9664-427C-8B04-B1E47BEC0862}"/>
  </bookViews>
  <sheets>
    <sheet name="Fact-Sales" sheetId="10" r:id="rId1"/>
    <sheet name="vw_FactSales" sheetId="4" state="hidden" r:id="rId2"/>
    <sheet name="Dim-Customer" sheetId="9" r:id="rId3"/>
    <sheet name="vw_DimCustomer" sheetId="3" state="hidden" r:id="rId4"/>
    <sheet name="Dim-Product" sheetId="8" r:id="rId5"/>
    <sheet name="vw_DimProduct" sheetId="5" state="hidden" r:id="rId6"/>
    <sheet name="D-Date" sheetId="7" r:id="rId7"/>
    <sheet name="Pivot Tabeles" sheetId="11" r:id="rId8"/>
    <sheet name="DashBoard" sheetId="12" r:id="rId9"/>
    <sheet name="vw_DimDate" sheetId="6" state="hidden" r:id="rId10"/>
  </sheets>
  <definedNames>
    <definedName name="_xlcn.WorksheetConnection_Book1.xlsxD_Date" hidden="1">D_Date[]</definedName>
    <definedName name="_xlcn.WorksheetConnection_Book1.xlsxDim_Customer" hidden="1">Dim_Customer[]</definedName>
    <definedName name="_xlcn.WorksheetConnection_Book1.xlsxDim_Product" hidden="1">Dim_Product[]</definedName>
    <definedName name="_xlcn.WorksheetConnection_Book1.xlsxFact_Sales" hidden="1">Fact_Sales[]</definedName>
    <definedName name="ExternalData_1" localSheetId="6" hidden="1">'D-Date'!$A$1:$G$732</definedName>
    <definedName name="ExternalData_1" localSheetId="2" hidden="1">'Dim-Customer'!$A$1:$F$408</definedName>
    <definedName name="ExternalData_1" localSheetId="4" hidden="1">'Dim-Product'!$A$1:$G$296</definedName>
    <definedName name="ExternalData_1" localSheetId="0" hidden="1">'Fact-Sales'!$A$1:$G$543</definedName>
    <definedName name="ExternalData_1" localSheetId="3" hidden="1">vw_DimCustomer!$A$1:$F$848</definedName>
    <definedName name="ExternalData_1" localSheetId="1" hidden="1">vw_FactSales!$A$1:$H$543</definedName>
    <definedName name="ExternalData_2" localSheetId="5" hidden="1">vw_DimProduct!$A$1:$G$296</definedName>
    <definedName name="ExternalData_3" localSheetId="9" hidden="1">vw_DimDate!#REF!</definedName>
    <definedName name="Slicer_Color">#N/A</definedName>
    <definedName name="Slicer_Price_Category_Classify">#N/A</definedName>
    <definedName name="Slicer_StateProvince">#N/A</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 cacheId="9" r:id="rId20"/>
    <pivotCache cacheId="10" r:id="rId21"/>
    <pivotCache cacheId="11" r:id="rId22"/>
    <pivotCache cacheId="12" r:id="rId23"/>
    <pivotCache cacheId="13" r:id="rId24"/>
    <pivotCache cacheId="14" r:id="rId25"/>
  </pivotCaches>
  <extLst>
    <ext xmlns:x14="http://schemas.microsoft.com/office/spreadsheetml/2009/9/main" uri="{876F7934-8845-4945-9796-88D515C7AA90}">
      <x14:pivotCaches>
        <pivotCache cacheId="15" r:id="rId26"/>
      </x14:pivotCaches>
    </ext>
    <ext xmlns:x14="http://schemas.microsoft.com/office/spreadsheetml/2009/9/main" uri="{BBE1A952-AA13-448e-AADC-164F8A28A991}">
      <x14:slicerCaches>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Sales" name="Fact_Sales" connection="WorksheetConnection_Book1.xlsx!Fact_Sales"/>
          <x15:modelTable id="Dim_Product" name="Dim_Product" connection="WorksheetConnection_Book1.xlsx!Dim_Product"/>
          <x15:modelTable id="Dim_Customer" name="Dim_Customer" connection="WorksheetConnection_Book1.xlsx!Dim_Customer"/>
          <x15:modelTable id="D_Date" name="D_Date" connection="WorksheetConnection_Book1.xlsx!D_Date"/>
        </x15:modelTables>
        <x15:modelRelationships>
          <x15:modelRelationship fromTable="Fact_Sales" fromColumn="CustomerID" toTable="Dim_Customer" toColumn="CustomerID"/>
          <x15:modelRelationship fromTable="Fact_Sales" fromColumn="ProductID" toTable="Dim_Product" toColumn="ProductID"/>
          <x15:modelRelationship fromTable="Fact_Sales" fromColumn="OrderDate" toTable="D_Date" toColumn="Order_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7" i="11" l="1"/>
  <c r="Q7" i="11"/>
  <c r="O7" i="11"/>
  <c r="P7" i="11"/>
  <c r="N7"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842D0FE-F8D5-459B-9FC3-607CC3D09E58}" keepAlive="1" name="Query - D-Date" description="Connection to the 'D-Date' query in the workbook." type="5" refreshedVersion="8" background="1" saveData="1">
    <dbPr connection="Provider=Microsoft.Mashup.OleDb.1;Data Source=$Workbook$;Location=D-Date;Extended Properties=&quot;&quot;" command="SELECT * FROM [D-Date]"/>
  </connection>
  <connection id="2" xr16:uid="{366FCB46-E219-41CB-AA0E-BB2F422BD029}" keepAlive="1" name="Query - Dim-Customer" description="Connection to the 'Dim-Customer' query in the workbook." type="5" refreshedVersion="8" background="1" saveData="1">
    <dbPr connection="Provider=Microsoft.Mashup.OleDb.1;Data Source=$Workbook$;Location=Dim-Customer;Extended Properties=&quot;&quot;" command="SELECT * FROM [Dim-Customer]"/>
  </connection>
  <connection id="3" xr16:uid="{DACCF27C-A530-414B-A6BF-2D60A602D194}" keepAlive="1" name="Query - Dim-Product" description="Connection to the 'Dim-Product' query in the workbook." type="5" refreshedVersion="8" background="1" saveData="1">
    <dbPr connection="Provider=Microsoft.Mashup.OleDb.1;Data Source=$Workbook$;Location=Dim-Product;Extended Properties=&quot;&quot;" command="SELECT * FROM [Dim-Product]"/>
  </connection>
  <connection id="4" xr16:uid="{5A8762A4-6EA8-4536-95A3-5D2E6646D602}" keepAlive="1" name="Query - Fact-Sales" description="Connection to the 'Fact-Sales' query in the workbook." type="5" refreshedVersion="8" background="1" saveData="1">
    <dbPr connection="Provider=Microsoft.Mashup.OleDb.1;Data Source=$Workbook$;Location=Fact-Sales;Extended Properties=&quot;&quot;" command="SELECT * FROM [Fact-Sales]"/>
  </connection>
  <connection id="5" xr16:uid="{CF508166-D667-4B3E-9071-77B5A58285C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AF534ABC-B63E-4954-9CC2-3FFFBCFC1338}" name="WorksheetConnection_Book1.xlsx!D_Date" type="102" refreshedVersion="8" minRefreshableVersion="5">
    <extLst>
      <ext xmlns:x15="http://schemas.microsoft.com/office/spreadsheetml/2010/11/main" uri="{DE250136-89BD-433C-8126-D09CA5730AF9}">
        <x15:connection id="D_Date">
          <x15:rangePr sourceName="_xlcn.WorksheetConnection_Book1.xlsxD_Date"/>
        </x15:connection>
      </ext>
    </extLst>
  </connection>
  <connection id="7" xr16:uid="{70F782EF-9830-477C-811B-6C5DF7EDFABB}" name="WorksheetConnection_Book1.xlsx!Dim_Customer" type="102" refreshedVersion="8" minRefreshableVersion="5">
    <extLst>
      <ext xmlns:x15="http://schemas.microsoft.com/office/spreadsheetml/2010/11/main" uri="{DE250136-89BD-433C-8126-D09CA5730AF9}">
        <x15:connection id="Dim_Customer">
          <x15:rangePr sourceName="_xlcn.WorksheetConnection_Book1.xlsxDim_Customer"/>
        </x15:connection>
      </ext>
    </extLst>
  </connection>
  <connection id="8" xr16:uid="{5E8C5FDD-290C-46E7-8F1A-00958A228B36}" name="WorksheetConnection_Book1.xlsx!Dim_Product" type="102" refreshedVersion="8" minRefreshableVersion="5">
    <extLst>
      <ext xmlns:x15="http://schemas.microsoft.com/office/spreadsheetml/2010/11/main" uri="{DE250136-89BD-433C-8126-D09CA5730AF9}">
        <x15:connection id="Dim_Product">
          <x15:rangePr sourceName="_xlcn.WorksheetConnection_Book1.xlsxDim_Product"/>
        </x15:connection>
      </ext>
    </extLst>
  </connection>
  <connection id="9" xr16:uid="{6AC12221-24FE-43D2-BEB7-983B8204E755}" name="WorksheetConnection_Book1.xlsx!Fact_Sales" type="102" refreshedVersion="8" minRefreshableVersion="5">
    <extLst>
      <ext xmlns:x15="http://schemas.microsoft.com/office/spreadsheetml/2010/11/main" uri="{DE250136-89BD-433C-8126-D09CA5730AF9}">
        <x15:connection id="Fact_Sales">
          <x15:rangePr sourceName="_xlcn.WorksheetConnection_Book1.xlsxFact_Sales"/>
        </x15:connection>
      </ext>
    </extLst>
  </connection>
</connections>
</file>

<file path=xl/sharedStrings.xml><?xml version="1.0" encoding="utf-8"?>
<sst xmlns="http://schemas.openxmlformats.org/spreadsheetml/2006/main" count="12454" uniqueCount="1650">
  <si>
    <t>SalesOrderID</t>
  </si>
  <si>
    <t>ProductID</t>
  </si>
  <si>
    <t>CustomerID</t>
  </si>
  <si>
    <t>OrderDate</t>
  </si>
  <si>
    <t>OrderQty</t>
  </si>
  <si>
    <t>UnitPrice</t>
  </si>
  <si>
    <t>UnitPriceDiscount</t>
  </si>
  <si>
    <t>TotalAmount</t>
  </si>
  <si>
    <t>FullName</t>
  </si>
  <si>
    <t>EmailAddress</t>
  </si>
  <si>
    <t>City</t>
  </si>
  <si>
    <t>StateProvince</t>
  </si>
  <si>
    <t>CountryRegion</t>
  </si>
  <si>
    <t>Orlando Gee</t>
  </si>
  <si>
    <t>orlando0@adventure-works.com</t>
  </si>
  <si>
    <t>Keith Harris</t>
  </si>
  <si>
    <t>keith0@adventure-works.com</t>
  </si>
  <si>
    <t>Donna Carreras</t>
  </si>
  <si>
    <t>donna0@adventure-works.com</t>
  </si>
  <si>
    <t>Janet Gates</t>
  </si>
  <si>
    <t>janet1@adventure-works.com</t>
  </si>
  <si>
    <t>Lucy Harrington</t>
  </si>
  <si>
    <t>lucy0@adventure-works.com</t>
  </si>
  <si>
    <t>Rosmarie Carroll</t>
  </si>
  <si>
    <t>rosmarie0@adventure-works.com</t>
  </si>
  <si>
    <t>Dominic Gash</t>
  </si>
  <si>
    <t>dominic0@adventure-works.com</t>
  </si>
  <si>
    <t>Kathleen Garza</t>
  </si>
  <si>
    <t>kathleen0@adventure-works.com</t>
  </si>
  <si>
    <t>Katherine Harding</t>
  </si>
  <si>
    <t>katherine0@adventure-works.com</t>
  </si>
  <si>
    <t>Johnny Caprio</t>
  </si>
  <si>
    <t>johnny0@adventure-works.com</t>
  </si>
  <si>
    <t>Christopher Beck</t>
  </si>
  <si>
    <t>christopher1@adventure-works.com</t>
  </si>
  <si>
    <t>David Liu</t>
  </si>
  <si>
    <t>david20@adventure-works.com</t>
  </si>
  <si>
    <t>John Beaver</t>
  </si>
  <si>
    <t>john8@adventure-works.com</t>
  </si>
  <si>
    <t>Jean Handley</t>
  </si>
  <si>
    <t>jean1@adventure-works.com</t>
  </si>
  <si>
    <t>Jinghao Liu</t>
  </si>
  <si>
    <t>jinghao1@adventure-works.com</t>
  </si>
  <si>
    <t>Linda Burnett</t>
  </si>
  <si>
    <t>linda4@adventure-works.com</t>
  </si>
  <si>
    <t>Kerim Hanif</t>
  </si>
  <si>
    <t>kerim0@adventure-works.com</t>
  </si>
  <si>
    <t>Kevin Liu</t>
  </si>
  <si>
    <t>kevin5@adventure-works.com</t>
  </si>
  <si>
    <t>Donald Blanton</t>
  </si>
  <si>
    <t>donald0@adventure-works.com</t>
  </si>
  <si>
    <t>Jackie Blackwell</t>
  </si>
  <si>
    <t>jackie0@adventure-works.com</t>
  </si>
  <si>
    <t>Bryan Hamilton</t>
  </si>
  <si>
    <t>bryan2@adventure-works.com</t>
  </si>
  <si>
    <t>Todd Logan</t>
  </si>
  <si>
    <t>todd0@adventure-works.com</t>
  </si>
  <si>
    <t>Barbara German</t>
  </si>
  <si>
    <t>barbara4@adventure-works.com</t>
  </si>
  <si>
    <t>Jim Geist</t>
  </si>
  <si>
    <t>jim1@adventure-works.com</t>
  </si>
  <si>
    <t>Betty Haines</t>
  </si>
  <si>
    <t>betty0@adventure-works.com</t>
  </si>
  <si>
    <t>Sharon Looney</t>
  </si>
  <si>
    <t>sharon2@adventure-works.com</t>
  </si>
  <si>
    <t>Darren Gehring</t>
  </si>
  <si>
    <t>darren0@adventure-works.com</t>
  </si>
  <si>
    <t>Erin Hagens</t>
  </si>
  <si>
    <t>erin1@adventure-works.com</t>
  </si>
  <si>
    <t>Jeremy Los</t>
  </si>
  <si>
    <t>jeremy0@adventure-works.com</t>
  </si>
  <si>
    <t>Elsa Leavitt</t>
  </si>
  <si>
    <t>elsa0@adventure-works.com</t>
  </si>
  <si>
    <t>David Lawrence</t>
  </si>
  <si>
    <t>david19@adventure-works.com</t>
  </si>
  <si>
    <t>Hattie Haemon</t>
  </si>
  <si>
    <t>hattie0@adventure-works.com</t>
  </si>
  <si>
    <t>Anita Lucerne</t>
  </si>
  <si>
    <t>anita0@adventure-works.com</t>
  </si>
  <si>
    <t>Rebecca Laszlo</t>
  </si>
  <si>
    <t>rebecca2@adventure-works.com</t>
  </si>
  <si>
    <t>Eric Lang</t>
  </si>
  <si>
    <t>eric6@adventure-works.com</t>
  </si>
  <si>
    <t>Brian Groth</t>
  </si>
  <si>
    <t>brian5@adventure-works.com</t>
  </si>
  <si>
    <t>Judy Lundahl</t>
  </si>
  <si>
    <t>judy1@adventure-works.com</t>
  </si>
  <si>
    <t>Peter Kurniawan</t>
  </si>
  <si>
    <t>peter4@adventure-works.com</t>
  </si>
  <si>
    <t>Douglas Groncki</t>
  </si>
  <si>
    <t>douglas2@adventure-works.com</t>
  </si>
  <si>
    <t>Sean Lunt</t>
  </si>
  <si>
    <t>sean4@adventure-works.com</t>
  </si>
  <si>
    <t>Jeffrey Kurtz</t>
  </si>
  <si>
    <t>jeffrey3@adventure-works.com</t>
  </si>
  <si>
    <t>Vamsi Kuppa</t>
  </si>
  <si>
    <t>vamsi1@adventure-works.com</t>
  </si>
  <si>
    <t>Jane Greer</t>
  </si>
  <si>
    <t>jane2@adventure-works.com</t>
  </si>
  <si>
    <t>Alexander Deborde</t>
  </si>
  <si>
    <t>alexander1@adventure-works.com</t>
  </si>
  <si>
    <t>Deepak Kumar</t>
  </si>
  <si>
    <t>deepak0@adventure-works.com</t>
  </si>
  <si>
    <t>Margaret Krupka</t>
  </si>
  <si>
    <t>margaret1@adventure-works.com</t>
  </si>
  <si>
    <t>Christopher Bright</t>
  </si>
  <si>
    <t>christopher2@adventure-works.com</t>
  </si>
  <si>
    <t>Aidan Delaney</t>
  </si>
  <si>
    <t>aidan0@adventure-works.com</t>
  </si>
  <si>
    <t>James Krow</t>
  </si>
  <si>
    <t>james11@adventure-works.com</t>
  </si>
  <si>
    <t>Michael Brundage</t>
  </si>
  <si>
    <t>michael13@adventure-works.com</t>
  </si>
  <si>
    <t>Stefan Delmarco</t>
  </si>
  <si>
    <t>stefan0@adventure-works.com</t>
  </si>
  <si>
    <t>Mitch Kennedy</t>
  </si>
  <si>
    <t>mitch0@adventure-works.com</t>
  </si>
  <si>
    <t>James Kramer</t>
  </si>
  <si>
    <t>james10@adventure-works.com</t>
  </si>
  <si>
    <t>Eric Brumfield</t>
  </si>
  <si>
    <t>eric3@adventure-works.com</t>
  </si>
  <si>
    <t>Della Demott Jr</t>
  </si>
  <si>
    <t>della0@adventure-works.com</t>
  </si>
  <si>
    <t>Pamala Kotc</t>
  </si>
  <si>
    <t>pamala0@adventure-works.com</t>
  </si>
  <si>
    <t>Joy Koski</t>
  </si>
  <si>
    <t>joy0@adventure-works.com</t>
  </si>
  <si>
    <t>Jovita Carmody</t>
  </si>
  <si>
    <t>jovita0@adventure-works.com</t>
  </si>
  <si>
    <t>Prashanth Desai</t>
  </si>
  <si>
    <t>prashanth0@adventure-works.com</t>
  </si>
  <si>
    <t>Scott Konersmann</t>
  </si>
  <si>
    <t>scott6@adventure-works.com</t>
  </si>
  <si>
    <t>Jane Carmichael</t>
  </si>
  <si>
    <t>jane0@adventure-works.com</t>
  </si>
  <si>
    <t>Bonnie Lepro</t>
  </si>
  <si>
    <t>bonnie2@adventure-works.com</t>
  </si>
  <si>
    <t>Eugene Kogan</t>
  </si>
  <si>
    <t>eugene2@adventure-works.com</t>
  </si>
  <si>
    <t>Kirk King</t>
  </si>
  <si>
    <t>kirk2@adventure-works.com</t>
  </si>
  <si>
    <t>William Conner</t>
  </si>
  <si>
    <t>william1@adventure-works.com</t>
  </si>
  <si>
    <t>Linda Leste</t>
  </si>
  <si>
    <t>linda7@adventure-works.com</t>
  </si>
  <si>
    <t>Andrea Thomsen</t>
  </si>
  <si>
    <t>andrea1@adventure-works.com</t>
  </si>
  <si>
    <t>Daniel Thompson</t>
  </si>
  <si>
    <t>daniel2@adventure-works.com</t>
  </si>
  <si>
    <t>Kendra Thompson</t>
  </si>
  <si>
    <t>kendra0@adventure-works.com</t>
  </si>
  <si>
    <t>Scott Colvin</t>
  </si>
  <si>
    <t>scott1@adventure-works.com</t>
  </si>
  <si>
    <t>Elsie Lewin</t>
  </si>
  <si>
    <t>elsie0@adventure-works.com</t>
  </si>
  <si>
    <t>Donald Thompson</t>
  </si>
  <si>
    <t>donald1@adventure-works.com</t>
  </si>
  <si>
    <t>John Colon</t>
  </si>
  <si>
    <t>john14@adventure-works.com</t>
  </si>
  <si>
    <t>George Li</t>
  </si>
  <si>
    <t>george3@adventure-works.com</t>
  </si>
  <si>
    <t>Yale Li</t>
  </si>
  <si>
    <t>yale0@adventure-works.com</t>
  </si>
  <si>
    <t>Phyllis Thomas</t>
  </si>
  <si>
    <t>phyllis2@adventure-works.com</t>
  </si>
  <si>
    <t>Pat Coleman</t>
  </si>
  <si>
    <t>pat2@adventure-works.com</t>
  </si>
  <si>
    <t>Yuhong Li</t>
  </si>
  <si>
    <t>yuhong1@adventure-works.com</t>
  </si>
  <si>
    <t>Joseph Lique</t>
  </si>
  <si>
    <t>joseph2@adventure-works.com</t>
  </si>
  <si>
    <t>Judy Thames</t>
  </si>
  <si>
    <t>judy3@adventure-works.com</t>
  </si>
  <si>
    <t>Connie Coffman</t>
  </si>
  <si>
    <t>connie0@adventure-works.com</t>
  </si>
  <si>
    <t>Paulo Lisboa</t>
  </si>
  <si>
    <t>paulo0@adventure-works.com</t>
  </si>
  <si>
    <t>Vanessa Tench</t>
  </si>
  <si>
    <t>vanessa0@adventure-works.com</t>
  </si>
  <si>
    <t>Teanna Cobb</t>
  </si>
  <si>
    <t>teanna0@adventure-works.com</t>
  </si>
  <si>
    <t>Michael Graff</t>
  </si>
  <si>
    <t>michael16@adventure-works.com</t>
  </si>
  <si>
    <t>Derek Graham</t>
  </si>
  <si>
    <t>derek0@adventure-works.com</t>
  </si>
  <si>
    <t>Gytis Barzdukas</t>
  </si>
  <si>
    <t>gytis0@adventure-works.com</t>
  </si>
  <si>
    <t>Jane Clayton</t>
  </si>
  <si>
    <t>jane1@adventure-works.com</t>
  </si>
  <si>
    <t>Jon Grande</t>
  </si>
  <si>
    <t>jon1@adventure-works.com</t>
  </si>
  <si>
    <t>Ted Bremer</t>
  </si>
  <si>
    <t>ted0@adventure-works.com</t>
  </si>
  <si>
    <t>Richard Bready</t>
  </si>
  <si>
    <t>richard1@adventure-works.com</t>
  </si>
  <si>
    <t>Alice Clark</t>
  </si>
  <si>
    <t>alice1@adventure-works.com</t>
  </si>
  <si>
    <t>Alan Brewer</t>
  </si>
  <si>
    <t>alan1@adventure-works.com</t>
  </si>
  <si>
    <t>Cornelius Brandon</t>
  </si>
  <si>
    <t>cornelius0@adventure-works.com</t>
  </si>
  <si>
    <t>Jill Christie</t>
  </si>
  <si>
    <t>jill1@adventure-works.com</t>
  </si>
  <si>
    <t>Walter Brian</t>
  </si>
  <si>
    <t>walter0@adventure-works.com</t>
  </si>
  <si>
    <t>Carlton Carlisle</t>
  </si>
  <si>
    <t>carlton0@adventure-works.com</t>
  </si>
  <si>
    <t>Joseph Castellucio</t>
  </si>
  <si>
    <t>joseph1@adventure-works.com</t>
  </si>
  <si>
    <t>Lester Bowman</t>
  </si>
  <si>
    <t>lester0@adventure-works.com</t>
  </si>
  <si>
    <t>Brigid Cavendish</t>
  </si>
  <si>
    <t>brigid0@adventure-works.com</t>
  </si>
  <si>
    <t>Andrew Cencini</t>
  </si>
  <si>
    <t>andrew2@adventure-works.com</t>
  </si>
  <si>
    <t>Cindy Dodd</t>
  </si>
  <si>
    <t>cindy0@adventure-works.com</t>
  </si>
  <si>
    <t>Randall Boseman</t>
  </si>
  <si>
    <t>randall0@adventure-works.com</t>
  </si>
  <si>
    <t>Stacey Cereghino</t>
  </si>
  <si>
    <t>stacey0@adventure-works.com</t>
  </si>
  <si>
    <t>Blaine Dockter</t>
  </si>
  <si>
    <t>blaine0@adventure-works.com</t>
  </si>
  <si>
    <t>Luis Bonifaz</t>
  </si>
  <si>
    <t>luis0@adventure-works.com</t>
  </si>
  <si>
    <t>Brenda Diaz</t>
  </si>
  <si>
    <t>brenda2@adventure-works.com</t>
  </si>
  <si>
    <t>Gabriele Dickmann</t>
  </si>
  <si>
    <t>gabriele0@adventure-works.com</t>
  </si>
  <si>
    <t>Rudolph Dillon</t>
  </si>
  <si>
    <t>rudolph0@adventure-works.com</t>
  </si>
  <si>
    <t>Michael Bohling</t>
  </si>
  <si>
    <t>michael12@adventure-works.com</t>
  </si>
  <si>
    <t>Dick Dievendorff</t>
  </si>
  <si>
    <t>dick1@adventure-works.com</t>
  </si>
  <si>
    <t>Nicky Chesnut</t>
  </si>
  <si>
    <t>nicky0@adventure-works.com</t>
  </si>
  <si>
    <t>Michael Lee</t>
  </si>
  <si>
    <t>michael18@adventure-works.com</t>
  </si>
  <si>
    <t>Stanley Alan</t>
  </si>
  <si>
    <t>stanley0@adventure-works.com</t>
  </si>
  <si>
    <t>Yao-Qiang Cheng</t>
  </si>
  <si>
    <t>yao-qiang0@adventure-works.com</t>
  </si>
  <si>
    <t>Marjorie Lee</t>
  </si>
  <si>
    <t>marjorie0@adventure-works.com</t>
  </si>
  <si>
    <t>Sandeep Kaliyath</t>
  </si>
  <si>
    <t>sandeep1@adventure-works.com</t>
  </si>
  <si>
    <t>Pei Chow</t>
  </si>
  <si>
    <t>pei0@adventure-works.com</t>
  </si>
  <si>
    <t>Frank Campbell</t>
  </si>
  <si>
    <t>frank4@adventure-works.com</t>
  </si>
  <si>
    <t>Mark Lee</t>
  </si>
  <si>
    <t>mark5@adventure-works.com</t>
  </si>
  <si>
    <t>Sandra Kitt</t>
  </si>
  <si>
    <t>sandra2@adventure-works.com</t>
  </si>
  <si>
    <t>Hao Chen</t>
  </si>
  <si>
    <t>hao1@adventure-works.com</t>
  </si>
  <si>
    <t>Jolie Lenehan</t>
  </si>
  <si>
    <t>jolie0@adventure-works.com</t>
  </si>
  <si>
    <t>Diane Krane</t>
  </si>
  <si>
    <t>diane4@adventure-works.com</t>
  </si>
  <si>
    <t>Payton Benson</t>
  </si>
  <si>
    <t>payton0@adventure-works.com</t>
  </si>
  <si>
    <t>Roger Lengel</t>
  </si>
  <si>
    <t>roger1@adventure-works.com</t>
  </si>
  <si>
    <t>Peggy Justice</t>
  </si>
  <si>
    <t>peggy0@adventure-works.com</t>
  </si>
  <si>
    <t>Edna Benson</t>
  </si>
  <si>
    <t>edna0@adventure-works.com</t>
  </si>
  <si>
    <t>A. Leonetti</t>
  </si>
  <si>
    <t>a0@adventure-works.com</t>
  </si>
  <si>
    <t>Jean Jordan</t>
  </si>
  <si>
    <t>jean3@adventure-works.com</t>
  </si>
  <si>
    <t>Ido Ben-Sachar</t>
  </si>
  <si>
    <t>ido0@adventure-works.com</t>
  </si>
  <si>
    <t>Frank Mart¡nez</t>
  </si>
  <si>
    <t>frank5@adventure-works.com</t>
  </si>
  <si>
    <t>Steve Masters</t>
  </si>
  <si>
    <t>steve2@adventure-works.com</t>
  </si>
  <si>
    <t>Robert Jones</t>
  </si>
  <si>
    <t>robert6@adventure-works.com</t>
  </si>
  <si>
    <t>Josh Barnhill</t>
  </si>
  <si>
    <t>josh0@adventure-works.com</t>
  </si>
  <si>
    <t>Jennifer Maxham</t>
  </si>
  <si>
    <t>jennifer1@adventure-works.com</t>
  </si>
  <si>
    <t>Chris Maxwell</t>
  </si>
  <si>
    <t>chris6@adventure-works.com</t>
  </si>
  <si>
    <t>David Johnson</t>
  </si>
  <si>
    <t>david18@adventure-works.com</t>
  </si>
  <si>
    <t>Brian Johnson</t>
  </si>
  <si>
    <t>brian6@adventure-works.com</t>
  </si>
  <si>
    <t>Robert Brown</t>
  </si>
  <si>
    <t>robert5@adventure-works.com</t>
  </si>
  <si>
    <t>Sandra Maynard</t>
  </si>
  <si>
    <t>sandra4@adventure-works.com</t>
  </si>
  <si>
    <t>Barry Johnson</t>
  </si>
  <si>
    <t>barry1@adventure-works.com</t>
  </si>
  <si>
    <t>Joyce Jarvis</t>
  </si>
  <si>
    <t>joyce0@adventure-works.com</t>
  </si>
  <si>
    <t>Vance Johns</t>
  </si>
  <si>
    <t>vance0@adventure-works.com</t>
  </si>
  <si>
    <t>Robin McGuigan</t>
  </si>
  <si>
    <t>robin0@adventure-works.com</t>
  </si>
  <si>
    <t>Danielle Johnson</t>
  </si>
  <si>
    <t>danielle1@adventure-works.com</t>
  </si>
  <si>
    <t>David Jaffe</t>
  </si>
  <si>
    <t>david17@adventure-works.com</t>
  </si>
  <si>
    <t>Mary Alexander</t>
  </si>
  <si>
    <t>mary7@adventure-works.com</t>
  </si>
  <si>
    <t>Lola McCarthy</t>
  </si>
  <si>
    <t>lola0@adventure-works.com</t>
  </si>
  <si>
    <t>Mary Browning</t>
  </si>
  <si>
    <t>mary5@adventure-works.com</t>
  </si>
  <si>
    <t>Jodan Jacobson</t>
  </si>
  <si>
    <t>jodan0@adventure-works.com</t>
  </si>
  <si>
    <t>Jane McCarty</t>
  </si>
  <si>
    <t>jane3@adventure-works.com</t>
  </si>
  <si>
    <t>Jessie Valerio</t>
  </si>
  <si>
    <t>jessie0@adventure-works.com</t>
  </si>
  <si>
    <t>Eric Jacobsen</t>
  </si>
  <si>
    <t>eric5@adventure-works.com</t>
  </si>
  <si>
    <t>Bronson Jacobs</t>
  </si>
  <si>
    <t>bronson0@adventure-works.com</t>
  </si>
  <si>
    <t>James McCoy</t>
  </si>
  <si>
    <t>james12@adventure-works.com</t>
  </si>
  <si>
    <t>Esther Valle</t>
  </si>
  <si>
    <t>esther0@adventure-works.com</t>
  </si>
  <si>
    <t>Denean Ison</t>
  </si>
  <si>
    <t>denean0@adventure-works.com</t>
  </si>
  <si>
    <t>Erik Ismert</t>
  </si>
  <si>
    <t>erik0@adventure-works.com</t>
  </si>
  <si>
    <t>Robert Bernacchi</t>
  </si>
  <si>
    <t>robert4@adventure-works.com</t>
  </si>
  <si>
    <t>Sunil Uppal</t>
  </si>
  <si>
    <t>sunil0@adventure-works.com</t>
  </si>
  <si>
    <t>Richard Irwin</t>
  </si>
  <si>
    <t>richard4@adventure-works.com</t>
  </si>
  <si>
    <t>Matthias Berndt</t>
  </si>
  <si>
    <t>matthias1@adventure-works.com</t>
  </si>
  <si>
    <t>Sairaj Uddin</t>
  </si>
  <si>
    <t>sairaj1@adventure-works.com</t>
  </si>
  <si>
    <t>Lucio Iallo</t>
  </si>
  <si>
    <t>lucio0@adventure-works.com</t>
  </si>
  <si>
    <t>Beth Inghram</t>
  </si>
  <si>
    <t>beth0@adventure-works.com</t>
  </si>
  <si>
    <t>Timothy Burnett</t>
  </si>
  <si>
    <t>timothy0@adventure-works.com</t>
  </si>
  <si>
    <t>Phyllis Tuffield</t>
  </si>
  <si>
    <t>phyllis3@adventure-works.com</t>
  </si>
  <si>
    <t>Richard Byham</t>
  </si>
  <si>
    <t>richard2@adventure-works.com</t>
  </si>
  <si>
    <t>Jared Bustamante</t>
  </si>
  <si>
    <t>jared0@adventure-works.com</t>
  </si>
  <si>
    <t>Henry Campen</t>
  </si>
  <si>
    <t>henry0@adventure-works.com</t>
  </si>
  <si>
    <t>Christie Trujillo</t>
  </si>
  <si>
    <t>christie0@adventure-works.com</t>
  </si>
  <si>
    <t>Janet Gilliat</t>
  </si>
  <si>
    <t>janet2@adventure-works.com</t>
  </si>
  <si>
    <t>Chris Cannon</t>
  </si>
  <si>
    <t>chris5@adventure-works.com</t>
  </si>
  <si>
    <t>Michael John Troyer</t>
  </si>
  <si>
    <t>michaeljohn0@adventure-works.com</t>
  </si>
  <si>
    <t>Guy Gilbert</t>
  </si>
  <si>
    <t>guy0@adventure-works.com</t>
  </si>
  <si>
    <t>Frances Giglio</t>
  </si>
  <si>
    <t>frances1@adventure-works.com</t>
  </si>
  <si>
    <t>Suzana De Abreu Canuto</t>
  </si>
  <si>
    <t>suzanadeabreu0@adventure-works.com</t>
  </si>
  <si>
    <t>Billy Trent</t>
  </si>
  <si>
    <t>billy0@adventure-works.com</t>
  </si>
  <si>
    <t>Leo Giakoumakis</t>
  </si>
  <si>
    <t>leo0@adventure-works.com</t>
  </si>
  <si>
    <t>Grant Culbertson</t>
  </si>
  <si>
    <t>grant1@adventure-works.com</t>
  </si>
  <si>
    <t>Robert Barker</t>
  </si>
  <si>
    <t>robert3@adventure-works.com</t>
  </si>
  <si>
    <t>Gabriel Bockenkamp</t>
  </si>
  <si>
    <t>gabriel0@adventure-works.com</t>
  </si>
  <si>
    <t>Scott Culp</t>
  </si>
  <si>
    <t>scott3@adventure-works.com</t>
  </si>
  <si>
    <t>Wayne Banack</t>
  </si>
  <si>
    <t>wayne0@adventure-works.com</t>
  </si>
  <si>
    <t>Michael Blythe</t>
  </si>
  <si>
    <t>michael11@adventure-works.com</t>
  </si>
  <si>
    <t>Conor Cunningham</t>
  </si>
  <si>
    <t>conor0@adventure-works.com</t>
  </si>
  <si>
    <t>Alberto Baltazar</t>
  </si>
  <si>
    <t>alberto0@adventure-works.com</t>
  </si>
  <si>
    <t>Joseph Mitzner</t>
  </si>
  <si>
    <t>joseph4@adventure-works.com</t>
  </si>
  <si>
    <t>Robert Mitosinka</t>
  </si>
  <si>
    <t>robert10@adventure-works.com</t>
  </si>
  <si>
    <t>Thierry D'Hers</t>
  </si>
  <si>
    <t>thierry1@adventure-works.com</t>
  </si>
  <si>
    <t>Daniel Blanco</t>
  </si>
  <si>
    <t>daniel0@adventure-works.com</t>
  </si>
  <si>
    <t>Linda Mitchell</t>
  </si>
  <si>
    <t>linda9@adventure-works.com</t>
  </si>
  <si>
    <t>Stephen Ayers</t>
  </si>
  <si>
    <t>stephen1@adventure-works.com</t>
  </si>
  <si>
    <t>Neva Mitchell</t>
  </si>
  <si>
    <t>neva0@adventure-works.com</t>
  </si>
  <si>
    <t>Megan Davis</t>
  </si>
  <si>
    <t>megan1@adventure-works.com</t>
  </si>
  <si>
    <t>John Arthur</t>
  </si>
  <si>
    <t>john6@adventure-works.com</t>
  </si>
  <si>
    <t>Frank Miller</t>
  </si>
  <si>
    <t>frank6@adventure-works.com</t>
  </si>
  <si>
    <t>Alvaro De Matos Miranda Filho</t>
  </si>
  <si>
    <t>alvaro0@adventure-works.com</t>
  </si>
  <si>
    <t>Thomas Armstrong</t>
  </si>
  <si>
    <t>thomas1@adventure-works.com</t>
  </si>
  <si>
    <t>Dylan Miller</t>
  </si>
  <si>
    <t>dylan1@adventure-works.com</t>
  </si>
  <si>
    <t>Ben Miller</t>
  </si>
  <si>
    <t>ben1@adventure-works.com</t>
  </si>
  <si>
    <t>Jacob Dean</t>
  </si>
  <si>
    <t>jacob0@adventure-works.com</t>
  </si>
  <si>
    <t>Ann Beebe</t>
  </si>
  <si>
    <t>ann0@adventure-works.com</t>
  </si>
  <si>
    <t>Matthew Miller</t>
  </si>
  <si>
    <t>matthew5@adventure-works.com</t>
  </si>
  <si>
    <t>Jo Brown</t>
  </si>
  <si>
    <t>jo2@adventure-works.com</t>
  </si>
  <si>
    <t>Virginia Miller</t>
  </si>
  <si>
    <t>virginia0@adventure-works.com</t>
  </si>
  <si>
    <t>Scott Gode</t>
  </si>
  <si>
    <t>scott4@adventure-works.com</t>
  </si>
  <si>
    <t>Caroline Vicknair</t>
  </si>
  <si>
    <t>caroline0@adventure-works.com</t>
  </si>
  <si>
    <t>Robert Vessa</t>
  </si>
  <si>
    <t>robert13@adventure-works.com</t>
  </si>
  <si>
    <t>Andreas Berglund</t>
  </si>
  <si>
    <t>andreas1@adventure-works.com</t>
  </si>
  <si>
    <t>Mete Goktepe</t>
  </si>
  <si>
    <t>mete0@adventure-works.com</t>
  </si>
  <si>
    <t>Wanda Vernon</t>
  </si>
  <si>
    <t>wanda0@adventure-works.com</t>
  </si>
  <si>
    <t>Dora Verdad</t>
  </si>
  <si>
    <t>dora0@adventure-works.com</t>
  </si>
  <si>
    <t>John Berger</t>
  </si>
  <si>
    <t>john10@adventure-works.com</t>
  </si>
  <si>
    <t>Brian Goldstein</t>
  </si>
  <si>
    <t>brian4@adventure-works.com</t>
  </si>
  <si>
    <t>Raja Venugopal</t>
  </si>
  <si>
    <t>raja0@adventure-works.com</t>
  </si>
  <si>
    <t>Patricia Vasquez</t>
  </si>
  <si>
    <t>patricia2@adventure-works.com</t>
  </si>
  <si>
    <t>Karren Burkhardt</t>
  </si>
  <si>
    <t>karren0@adventure-works.com</t>
  </si>
  <si>
    <t>Abigail Gonzalez</t>
  </si>
  <si>
    <t>abigail0@adventure-works.com</t>
  </si>
  <si>
    <t>Ranjit Varkey Chudukatil</t>
  </si>
  <si>
    <t>ranjit1@adventure-works.com</t>
  </si>
  <si>
    <t>Ingrid Burkhardt</t>
  </si>
  <si>
    <t>ingrid0@adventure-works.com</t>
  </si>
  <si>
    <t>Oscar Alpuerto</t>
  </si>
  <si>
    <t>oscar0@adventure-works.com</t>
  </si>
  <si>
    <t>Gary Vargas</t>
  </si>
  <si>
    <t>gary6@adventure-works.com</t>
  </si>
  <si>
    <t>Shane Kim</t>
  </si>
  <si>
    <t>shane2@adventure-works.com</t>
  </si>
  <si>
    <t>Joan Campbell</t>
  </si>
  <si>
    <t>joan0@adventure-works.com</t>
  </si>
  <si>
    <t>Maxwell Amland</t>
  </si>
  <si>
    <t>maxwell0@adventure-works.com</t>
  </si>
  <si>
    <t>Joe Kim</t>
  </si>
  <si>
    <t>joe1@adventure-works.com</t>
  </si>
  <si>
    <t>Ramona Antrim</t>
  </si>
  <si>
    <t>ramona0@adventure-works.com</t>
  </si>
  <si>
    <t>Karan Khanna</t>
  </si>
  <si>
    <t>karan1@adventure-works.com</t>
  </si>
  <si>
    <t>Sharon Crow</t>
  </si>
  <si>
    <t>sharon1@adventure-works.com</t>
  </si>
  <si>
    <t>Chris Ashton</t>
  </si>
  <si>
    <t>chris3@adventure-works.com</t>
  </si>
  <si>
    <t>Imtiaz Khan</t>
  </si>
  <si>
    <t>imtiaz0@adventure-works.com</t>
  </si>
  <si>
    <t>Jack Creasey</t>
  </si>
  <si>
    <t>jack2@adventure-works.com</t>
  </si>
  <si>
    <t>Teresa Atkinson</t>
  </si>
  <si>
    <t>teresa0@adventure-works.com</t>
  </si>
  <si>
    <t>Tammy Khan</t>
  </si>
  <si>
    <t>tammy0@adventure-works.com</t>
  </si>
  <si>
    <t>Elizabeth Keyser</t>
  </si>
  <si>
    <t>elizabeth2@adventure-works.com</t>
  </si>
  <si>
    <t>Bruno Costa Da Silva</t>
  </si>
  <si>
    <t>bruno0@adventure-works.com</t>
  </si>
  <si>
    <t>Katherine Swan</t>
  </si>
  <si>
    <t>katherine1@adventure-works.com</t>
  </si>
  <si>
    <t>Mary Kesslep</t>
  </si>
  <si>
    <t>mary8@adventure-works.com</t>
  </si>
  <si>
    <t>Marlin Coriell</t>
  </si>
  <si>
    <t>marlin0@adventure-works.com</t>
  </si>
  <si>
    <t>Kevin Kennedy</t>
  </si>
  <si>
    <t>kevin4@adventure-works.com</t>
  </si>
  <si>
    <t>Eva Corets</t>
  </si>
  <si>
    <t>eva0@adventure-works.com</t>
  </si>
  <si>
    <t>Julie Taft-Rider</t>
  </si>
  <si>
    <t>julie1@adventure-works.com</t>
  </si>
  <si>
    <t>Robert Kelly</t>
  </si>
  <si>
    <t>robert7@adventure-works.com</t>
  </si>
  <si>
    <t>Scott Cooper</t>
  </si>
  <si>
    <t>scott2@adventure-works.com</t>
  </si>
  <si>
    <t>Clarence Tatman</t>
  </si>
  <si>
    <t>clarence0@adventure-works.com</t>
  </si>
  <si>
    <t>John Kelly</t>
  </si>
  <si>
    <t>john22@adventure-works.com</t>
  </si>
  <si>
    <t>Victor Kelley</t>
  </si>
  <si>
    <t>victor0@adventure-works.com</t>
  </si>
  <si>
    <t>Dorothy Contreras</t>
  </si>
  <si>
    <t>dorothy0@adventure-works.com</t>
  </si>
  <si>
    <t>Mike Taylor</t>
  </si>
  <si>
    <t>mike6@adventure-works.com</t>
  </si>
  <si>
    <t>Bonnie Kearney</t>
  </si>
  <si>
    <t>bonnie1@adventure-works.com</t>
  </si>
  <si>
    <t>June Brunner</t>
  </si>
  <si>
    <t>june0@adventure-works.com</t>
  </si>
  <si>
    <t>Sandeep Katyal</t>
  </si>
  <si>
    <t>sandeep2@adventure-works.com</t>
  </si>
  <si>
    <t>Shirley Bruner</t>
  </si>
  <si>
    <t>shirley0@adventure-works.com</t>
  </si>
  <si>
    <t>Chad Tedford</t>
  </si>
  <si>
    <t>chad1@adventure-works.com</t>
  </si>
  <si>
    <t>Peter Houston</t>
  </si>
  <si>
    <t>peter3@adventure-works.com</t>
  </si>
  <si>
    <t>Tom Johnston</t>
  </si>
  <si>
    <t>tom1@adventure-works.com</t>
  </si>
  <si>
    <t>Marian Berch</t>
  </si>
  <si>
    <t>marian0@adventure-works.com</t>
  </si>
  <si>
    <t>Juanita Holman</t>
  </si>
  <si>
    <t>juanita0@adventure-works.com</t>
  </si>
  <si>
    <t>Eddie Holmes</t>
  </si>
  <si>
    <t>eddie0@adventure-works.com</t>
  </si>
  <si>
    <t>Robert Avalos</t>
  </si>
  <si>
    <t>robert2@adventure-works.com</t>
  </si>
  <si>
    <t>Alexander Berger</t>
  </si>
  <si>
    <t>alexander0@adventure-works.com</t>
  </si>
  <si>
    <t>Jean Holloway</t>
  </si>
  <si>
    <t>jean2@adventure-works.com</t>
  </si>
  <si>
    <t>Greg Chapman</t>
  </si>
  <si>
    <t>greg1@adventure-works.com</t>
  </si>
  <si>
    <t>Angela Barbariol</t>
  </si>
  <si>
    <t>angela1@adventure-works.com</t>
  </si>
  <si>
    <t>Ruth Choin</t>
  </si>
  <si>
    <t>ruth1@adventure-works.com</t>
  </si>
  <si>
    <t>Lee Chapla</t>
  </si>
  <si>
    <t>lee0@adventure-works.com</t>
  </si>
  <si>
    <t>Darrell Banks</t>
  </si>
  <si>
    <t>darrell0@adventure-works.com</t>
  </si>
  <si>
    <t>Anthony Chor</t>
  </si>
  <si>
    <t>anthony0@adventure-works.com</t>
  </si>
  <si>
    <t>Forrest Chandler</t>
  </si>
  <si>
    <t>forrest0@adventure-works.com</t>
  </si>
  <si>
    <t>Eli Bowen</t>
  </si>
  <si>
    <t>eli0@adventure-works.com</t>
  </si>
  <si>
    <t>Stephen Jiang</t>
  </si>
  <si>
    <t>stephen3@adventure-works.com</t>
  </si>
  <si>
    <t>Dirk Bruno</t>
  </si>
  <si>
    <t>dirk0@adventure-works.com</t>
  </si>
  <si>
    <t>Gustavo Camargo</t>
  </si>
  <si>
    <t>gustavo1@adventure-works.com</t>
  </si>
  <si>
    <t>Douglas Baldwin</t>
  </si>
  <si>
    <t>douglas1@adventure-works.com</t>
  </si>
  <si>
    <t>Lindsey Camacho</t>
  </si>
  <si>
    <t>lindsey0@adventure-works.com</t>
  </si>
  <si>
    <t>James Bailey</t>
  </si>
  <si>
    <t>james3@adventure-works.com</t>
  </si>
  <si>
    <t>Carol Elliott</t>
  </si>
  <si>
    <t>carol2@adventure-works.com</t>
  </si>
  <si>
    <t>Barbara Calone</t>
  </si>
  <si>
    <t>barbara2@adventure-works.com</t>
  </si>
  <si>
    <t>Megan Burke</t>
  </si>
  <si>
    <t>megan0@adventure-works.com</t>
  </si>
  <si>
    <t>Cory Booth</t>
  </si>
  <si>
    <t>cory0@adventure-works.com</t>
  </si>
  <si>
    <t>Shannon Elliott</t>
  </si>
  <si>
    <t>shannon0@adventure-works.com</t>
  </si>
  <si>
    <t>Jauna Elson</t>
  </si>
  <si>
    <t>jauna0@adventure-works.com</t>
  </si>
  <si>
    <t>Janaina Barreiro Gambaro Bueno</t>
  </si>
  <si>
    <t>janainabarreirogambaro0@adventure-works.com</t>
  </si>
  <si>
    <t>Shaun Beasley</t>
  </si>
  <si>
    <t>shaun0@adventure-works.com</t>
  </si>
  <si>
    <t>Terry Eminhizer</t>
  </si>
  <si>
    <t>terry1@adventure-works.com</t>
  </si>
  <si>
    <t>John Emory</t>
  </si>
  <si>
    <t>john16@adventure-works.com</t>
  </si>
  <si>
    <t>Olga Trau</t>
  </si>
  <si>
    <t>olga0@adventure-works.com</t>
  </si>
  <si>
    <t>Jon Ganio</t>
  </si>
  <si>
    <t>jon0@adventure-works.com</t>
  </si>
  <si>
    <t>Gail Erickson</t>
  </si>
  <si>
    <t>gail1@adventure-works.com</t>
  </si>
  <si>
    <t>James Tran</t>
  </si>
  <si>
    <t>james15@adventure-works.com</t>
  </si>
  <si>
    <t>Michael Galos</t>
  </si>
  <si>
    <t>michael15@adventure-works.com</t>
  </si>
  <si>
    <t>Mark Erickson</t>
  </si>
  <si>
    <t>mark2@adventure-works.com</t>
  </si>
  <si>
    <t>Martha Espinoza</t>
  </si>
  <si>
    <t>martha0@adventure-works.com</t>
  </si>
  <si>
    <t>Glenn Track</t>
  </si>
  <si>
    <t>glenn0@adventure-works.com</t>
  </si>
  <si>
    <t>Bob Gage</t>
  </si>
  <si>
    <t>bob1@adventure-works.com</t>
  </si>
  <si>
    <t>Janeth Esteves</t>
  </si>
  <si>
    <t>janeth1@adventure-works.com</t>
  </si>
  <si>
    <t>Paul Fulton</t>
  </si>
  <si>
    <t>paul3@adventure-works.com</t>
  </si>
  <si>
    <t>Twanna Evans</t>
  </si>
  <si>
    <t>twanna0@adventure-works.com</t>
  </si>
  <si>
    <t>Delia Toone</t>
  </si>
  <si>
    <t>delia0@adventure-works.com</t>
  </si>
  <si>
    <t>John Ford</t>
  </si>
  <si>
    <t>john19@adventure-works.com</t>
  </si>
  <si>
    <t>Ann Evans</t>
  </si>
  <si>
    <t>ann1@adventure-works.com</t>
  </si>
  <si>
    <t>Kay Krane</t>
  </si>
  <si>
    <t>kay0@adventure-works.com</t>
  </si>
  <si>
    <t>Mihail Frintu</t>
  </si>
  <si>
    <t>mihail1@adventure-works.com</t>
  </si>
  <si>
    <t>John Evans</t>
  </si>
  <si>
    <t>john17@adventure-works.com</t>
  </si>
  <si>
    <t>Ruby Sue Styles</t>
  </si>
  <si>
    <t>rubysue0@adventure-works.com</t>
  </si>
  <si>
    <t>Lori Kane</t>
  </si>
  <si>
    <t>lori2@adventure-works.com</t>
  </si>
  <si>
    <t>Susan French</t>
  </si>
  <si>
    <t>susan3@adventure-works.com</t>
  </si>
  <si>
    <t>Gary Suess</t>
  </si>
  <si>
    <t>gary5@adventure-works.com</t>
  </si>
  <si>
    <t>Ruth Suffin</t>
  </si>
  <si>
    <t>ruth2@adventure-works.com</t>
  </si>
  <si>
    <t>Margaret Smith</t>
  </si>
  <si>
    <t>margaret0@adventure-works.com</t>
  </si>
  <si>
    <t>Dorothy Fox</t>
  </si>
  <si>
    <t>dorothy1@adventure-works.com</t>
  </si>
  <si>
    <t>Elizabeth Sullivan</t>
  </si>
  <si>
    <t>elizabeth4@adventure-works.com</t>
  </si>
  <si>
    <t>Frances Adams</t>
  </si>
  <si>
    <t>frances0@adventure-works.com</t>
  </si>
  <si>
    <t>Garth Fort</t>
  </si>
  <si>
    <t>garth0@adventure-works.com</t>
  </si>
  <si>
    <t>Michael Sullivan</t>
  </si>
  <si>
    <t>michael24@adventure-works.com</t>
  </si>
  <si>
    <t>Marcia Sultan</t>
  </si>
  <si>
    <t>marcia0@adventure-works.com</t>
  </si>
  <si>
    <t>Amy Alberts</t>
  </si>
  <si>
    <t>amy1@adventure-works.com</t>
  </si>
  <si>
    <t>Kelly Focht</t>
  </si>
  <si>
    <t>kelly0@adventure-works.com</t>
  </si>
  <si>
    <t>Krishna Sunkammurali</t>
  </si>
  <si>
    <t>krishna1@adventure-works.com</t>
  </si>
  <si>
    <t>Mae Black</t>
  </si>
  <si>
    <t>mae1@adventure-works.com</t>
  </si>
  <si>
    <t>Brad Sutton</t>
  </si>
  <si>
    <t>brad0@adventure-works.com</t>
  </si>
  <si>
    <t>François Ferrier</t>
  </si>
  <si>
    <t>françois1@adventure-works.com</t>
  </si>
  <si>
    <t>Mary Bishop</t>
  </si>
  <si>
    <t>mary4@adventure-works.com</t>
  </si>
  <si>
    <t>Martin Svoboda</t>
  </si>
  <si>
    <t>martin1@adventure-works.com</t>
  </si>
  <si>
    <t>Robert Ahlering</t>
  </si>
  <si>
    <t>robert1@adventure-works.com</t>
  </si>
  <si>
    <t>Jimmy Bischoff</t>
  </si>
  <si>
    <t>jimmy1@adventure-works.com</t>
  </si>
  <si>
    <t>Abraham Swearengin</t>
  </si>
  <si>
    <t>abraham0@adventure-works.com</t>
  </si>
  <si>
    <t>Ryan Calafato</t>
  </si>
  <si>
    <t>ryan1@adventure-works.com</t>
  </si>
  <si>
    <t>Dragan Tomic</t>
  </si>
  <si>
    <t>dragan1@adventure-works.com</t>
  </si>
  <si>
    <t>Thomas Michaels</t>
  </si>
  <si>
    <t>thomas2@adventure-works.com</t>
  </si>
  <si>
    <t>Mari Caldwell</t>
  </si>
  <si>
    <t>mari0@adventure-works.com</t>
  </si>
  <si>
    <t>Mary Gimmi</t>
  </si>
  <si>
    <t>mary6@adventure-works.com</t>
  </si>
  <si>
    <t>David Givens</t>
  </si>
  <si>
    <t>david15@adventure-works.com</t>
  </si>
  <si>
    <t>Diane Tibbott</t>
  </si>
  <si>
    <t>diane5@adventure-works.com</t>
  </si>
  <si>
    <t>Helen Meyer</t>
  </si>
  <si>
    <t>helen2@adventure-works.com</t>
  </si>
  <si>
    <t>Jeanie Glenn</t>
  </si>
  <si>
    <t>jeanie0@adventure-works.com</t>
  </si>
  <si>
    <t>Diane Glimp</t>
  </si>
  <si>
    <t>diane3@adventure-works.com</t>
  </si>
  <si>
    <t>Yuping Tian</t>
  </si>
  <si>
    <t>yuping0@adventure-works.com</t>
  </si>
  <si>
    <t>Stephen Mew</t>
  </si>
  <si>
    <t>stephen4@adventure-works.com</t>
  </si>
  <si>
    <t>John Brooks</t>
  </si>
  <si>
    <t>john12@adventure-works.com</t>
  </si>
  <si>
    <t>Willie Brooks</t>
  </si>
  <si>
    <t>willie0@adventure-works.com</t>
  </si>
  <si>
    <t>Andrew Kobylinski</t>
  </si>
  <si>
    <t>andrew5@adventure-works.com</t>
  </si>
  <si>
    <t>R. Morgan Mendoza</t>
  </si>
  <si>
    <t>rmorgan0@adventure-works.com</t>
  </si>
  <si>
    <t>Jay Adams</t>
  </si>
  <si>
    <t>jay1@adventure-works.com</t>
  </si>
  <si>
    <t>Christian Kleinerman</t>
  </si>
  <si>
    <t>christian1@adventure-works.com</t>
  </si>
  <si>
    <t>Anton Kirilov</t>
  </si>
  <si>
    <t>anton0@adventure-works.com</t>
  </si>
  <si>
    <t>Gladys Mendiola</t>
  </si>
  <si>
    <t>gladys0@adventure-works.com</t>
  </si>
  <si>
    <t>Raquel Mello</t>
  </si>
  <si>
    <t>raquel0@adventure-works.com</t>
  </si>
  <si>
    <t>Samuel Agcaoili</t>
  </si>
  <si>
    <t>samuel0@adventure-works.com</t>
  </si>
  <si>
    <t>Tim Kim</t>
  </si>
  <si>
    <t>tim0@adventure-works.com</t>
  </si>
  <si>
    <t>Nancy McPhearson</t>
  </si>
  <si>
    <t>nancy3@adventure-works.com</t>
  </si>
  <si>
    <t>Nkenge McLin</t>
  </si>
  <si>
    <t>nkenge0@adventure-works.com</t>
  </si>
  <si>
    <t>Paul Alcorn</t>
  </si>
  <si>
    <t>paul2@adventure-works.com</t>
  </si>
  <si>
    <t>Marvin Allen</t>
  </si>
  <si>
    <t>marvin0@adventure-works.com</t>
  </si>
  <si>
    <t>Yvonne McKay</t>
  </si>
  <si>
    <t>yvonne1@adventure-works.com</t>
  </si>
  <si>
    <t>Sean Jacobson</t>
  </si>
  <si>
    <t>sean2@adventure-works.com</t>
  </si>
  <si>
    <t>Michelle Alexander</t>
  </si>
  <si>
    <t>michelle0@adventure-works.com</t>
  </si>
  <si>
    <t>Richard Bentley</t>
  </si>
  <si>
    <t>richard0@adventure-works.com</t>
  </si>
  <si>
    <t>Curtis Howard</t>
  </si>
  <si>
    <t>curtis0@adventure-works.com</t>
  </si>
  <si>
    <t>Cecil Allison</t>
  </si>
  <si>
    <t>cecil0@adventure-works.com</t>
  </si>
  <si>
    <t>Gregory Alderson</t>
  </si>
  <si>
    <t>gregory0@adventure-works.com</t>
  </si>
  <si>
    <t>Janice Hows</t>
  </si>
  <si>
    <t>janice1@adventure-works.com</t>
  </si>
  <si>
    <t>George Huckaby</t>
  </si>
  <si>
    <t>george1@adventure-works.com</t>
  </si>
  <si>
    <t>Carolyn Farino</t>
  </si>
  <si>
    <t>carolyn0@adventure-works.com</t>
  </si>
  <si>
    <t>Kim Abercrombie</t>
  </si>
  <si>
    <t>kim2@adventure-works.com</t>
  </si>
  <si>
    <t>Joshua Huff</t>
  </si>
  <si>
    <t>joshua0@adventure-works.com</t>
  </si>
  <si>
    <t>Geri Farrell</t>
  </si>
  <si>
    <t>geri0@adventure-works.com</t>
  </si>
  <si>
    <t>Catherine Abel</t>
  </si>
  <si>
    <t>catherine0@adventure-works.com</t>
  </si>
  <si>
    <t>Laura Steele</t>
  </si>
  <si>
    <t>laura3@adventure-works.com</t>
  </si>
  <si>
    <t>Shanay Steelman</t>
  </si>
  <si>
    <t>shanay0@adventure-works.com</t>
  </si>
  <si>
    <t>Rhoda Finley</t>
  </si>
  <si>
    <t>rhoda0@adventure-works.com</t>
  </si>
  <si>
    <t>Pat Chambers</t>
  </si>
  <si>
    <t>pat1@adventure-works.com</t>
  </si>
  <si>
    <t>Stefano Stefani</t>
  </si>
  <si>
    <t>stefano0@adventure-works.com</t>
  </si>
  <si>
    <t>Alan Steiner</t>
  </si>
  <si>
    <t>alan4@adventure-works.com</t>
  </si>
  <si>
    <t>Kathie Flood</t>
  </si>
  <si>
    <t>kathie1@adventure-works.com</t>
  </si>
  <si>
    <t>Bob Hodges</t>
  </si>
  <si>
    <t>bob2@adventure-works.com</t>
  </si>
  <si>
    <t>Derik Stenerson</t>
  </si>
  <si>
    <t>derik0@adventure-works.com</t>
  </si>
  <si>
    <t>Raul Casts</t>
  </si>
  <si>
    <t>raul0@adventure-works.com</t>
  </si>
  <si>
    <t>Holly Holt</t>
  </si>
  <si>
    <t>holly1@adventure-works.com</t>
  </si>
  <si>
    <t>Vassar Stern</t>
  </si>
  <si>
    <t>vassar0@adventure-works.com</t>
  </si>
  <si>
    <t>Wathalee Steuber</t>
  </si>
  <si>
    <t>wathalee0@adventure-works.com</t>
  </si>
  <si>
    <t>Matthew Cavallari</t>
  </si>
  <si>
    <t>matthew1@adventure-works.com</t>
  </si>
  <si>
    <t>Helge Hoeing</t>
  </si>
  <si>
    <t>helge0@adventure-works.com</t>
  </si>
  <si>
    <t>Alice Steiner</t>
  </si>
  <si>
    <t>alice4@adventure-works.com</t>
  </si>
  <si>
    <t>Steven Brown</t>
  </si>
  <si>
    <t>steven1@adventure-works.com</t>
  </si>
  <si>
    <t>David Hodgson</t>
  </si>
  <si>
    <t>david16@adventure-works.com</t>
  </si>
  <si>
    <t>Liza Marie Stevens</t>
  </si>
  <si>
    <t>lizamarie0@adventure-works.com</t>
  </si>
  <si>
    <t>Jim Stewart</t>
  </si>
  <si>
    <t>jim5@adventure-works.com</t>
  </si>
  <si>
    <t>Arlene Huff</t>
  </si>
  <si>
    <t>arlene0@adventure-works.com</t>
  </si>
  <si>
    <t>Matthew Hunter</t>
  </si>
  <si>
    <t>matthew4@adventure-works.com</t>
  </si>
  <si>
    <t>Matthew Hink</t>
  </si>
  <si>
    <t>matthew3@adventure-works.com</t>
  </si>
  <si>
    <t>Robert Stotka</t>
  </si>
  <si>
    <t>robert12@adventure-works.com</t>
  </si>
  <si>
    <t>Phyllis Huntsman</t>
  </si>
  <si>
    <t>phyllis1@adventure-works.com</t>
  </si>
  <si>
    <t>Mike Hines</t>
  </si>
  <si>
    <t>mike3@adventure-works.com</t>
  </si>
  <si>
    <t>Kayla Stotler</t>
  </si>
  <si>
    <t>kayla0@adventure-works.com</t>
  </si>
  <si>
    <t>Lawrence Hurkett</t>
  </si>
  <si>
    <t>lawrence0@adventure-works.com</t>
  </si>
  <si>
    <t>Ryan Ihrig</t>
  </si>
  <si>
    <t>ryan4@adventure-works.com</t>
  </si>
  <si>
    <t>Andrew Hill</t>
  </si>
  <si>
    <t>andrew4@adventure-works.com</t>
  </si>
  <si>
    <t>Robert Lyeba</t>
  </si>
  <si>
    <t>robert8@adventure-works.com</t>
  </si>
  <si>
    <t>Roger Van Houten</t>
  </si>
  <si>
    <t>roger2@adventure-works.com</t>
  </si>
  <si>
    <t>Robert Lyon</t>
  </si>
  <si>
    <t>robert9@adventure-works.com</t>
  </si>
  <si>
    <t>Rose Vandenouer</t>
  </si>
  <si>
    <t>rose1@adventure-works.com</t>
  </si>
  <si>
    <t>Denise Maccietto</t>
  </si>
  <si>
    <t>denise1@adventure-works.com</t>
  </si>
  <si>
    <t>Gregory Vanderbout</t>
  </si>
  <si>
    <t>gregory1@adventure-works.com</t>
  </si>
  <si>
    <t>Ronald Heymsfield</t>
  </si>
  <si>
    <t>ronald1@adventure-works.com</t>
  </si>
  <si>
    <t>Scott MacDonald</t>
  </si>
  <si>
    <t>scott7@adventure-works.com</t>
  </si>
  <si>
    <t>Michael Vanderhyde</t>
  </si>
  <si>
    <t>michael25@adventure-works.com</t>
  </si>
  <si>
    <t>Cheryl Herring</t>
  </si>
  <si>
    <t>cheryl0@adventure-works.com</t>
  </si>
  <si>
    <t>Walter Mays</t>
  </si>
  <si>
    <t>walter1@adventure-works.com</t>
  </si>
  <si>
    <t>Margaret Vanderkamp</t>
  </si>
  <si>
    <t>margaret2@adventure-works.com</t>
  </si>
  <si>
    <t>Kara Vanderlinden</t>
  </si>
  <si>
    <t>kara0@adventure-works.com</t>
  </si>
  <si>
    <t>Jésus Hernandez</t>
  </si>
  <si>
    <t>jésus0@adventure-works.com</t>
  </si>
  <si>
    <t>Irene Hernandez</t>
  </si>
  <si>
    <t>irene0@adventure-works.com</t>
  </si>
  <si>
    <t>Ajay Manchepalli</t>
  </si>
  <si>
    <t>ajay0@adventure-works.com</t>
  </si>
  <si>
    <t>Nieves Vargas</t>
  </si>
  <si>
    <t>nieves0@adventure-works.com</t>
  </si>
  <si>
    <t>Kari Hensien</t>
  </si>
  <si>
    <t>kari0@adventure-works.com</t>
  </si>
  <si>
    <t>Tomas Manzanares</t>
  </si>
  <si>
    <t>tomas0@adventure-works.com</t>
  </si>
  <si>
    <t>Kathy Marcovecchio</t>
  </si>
  <si>
    <t>kathy0@adventure-works.com</t>
  </si>
  <si>
    <t>Patricia Doyle</t>
  </si>
  <si>
    <t>patricia0@adventure-works.com</t>
  </si>
  <si>
    <t>Valerie Hendricks</t>
  </si>
  <si>
    <t>valerie0@adventure-works.com</t>
  </si>
  <si>
    <t>Jill Markwood</t>
  </si>
  <si>
    <t>jill2@adventure-works.com</t>
  </si>
  <si>
    <t>Gerald Drury</t>
  </si>
  <si>
    <t>gerald0@adventure-works.com</t>
  </si>
  <si>
    <t>John Hanson</t>
  </si>
  <si>
    <t>john20@adventure-works.com</t>
  </si>
  <si>
    <t>Melissa Marple</t>
  </si>
  <si>
    <t>melissa0@adventure-works.com</t>
  </si>
  <si>
    <t>Cecelia Marshall</t>
  </si>
  <si>
    <t>cecelia0@adventure-works.com</t>
  </si>
  <si>
    <t>Reuben D'sa</t>
  </si>
  <si>
    <t>reuben1@adventure-works.com</t>
  </si>
  <si>
    <t>Brenda Heaney</t>
  </si>
  <si>
    <t>brenda3@adventure-works.com</t>
  </si>
  <si>
    <t>Linda Martin</t>
  </si>
  <si>
    <t>linda8@adventure-works.com</t>
  </si>
  <si>
    <t>James Haugh</t>
  </si>
  <si>
    <t>james8@adventure-works.com</t>
  </si>
  <si>
    <t>Sandra Martinez</t>
  </si>
  <si>
    <t>sandra3@adventure-works.com</t>
  </si>
  <si>
    <t>Bev Desalvo</t>
  </si>
  <si>
    <t>bev0@adventure-works.com</t>
  </si>
  <si>
    <t>Bart Duncan</t>
  </si>
  <si>
    <t>bart0@adventure-works.com</t>
  </si>
  <si>
    <t>Ann Hass</t>
  </si>
  <si>
    <t>ann2@adventure-works.com</t>
  </si>
  <si>
    <t>Rob Caron</t>
  </si>
  <si>
    <t>rob2@adventure-works.com</t>
  </si>
  <si>
    <t>Maciej Dusza</t>
  </si>
  <si>
    <t>maciej1@adventure-works.com</t>
  </si>
  <si>
    <t>Roger Harui</t>
  </si>
  <si>
    <t>roger0@adventure-works.com</t>
  </si>
  <si>
    <t>Andy Carothers</t>
  </si>
  <si>
    <t>andy1@adventure-works.com</t>
  </si>
  <si>
    <t>Linda Ecoffey</t>
  </si>
  <si>
    <t>linda5@adventure-works.com</t>
  </si>
  <si>
    <t>Van Nuys</t>
  </si>
  <si>
    <t>California</t>
  </si>
  <si>
    <t>United States</t>
  </si>
  <si>
    <t>Modesto</t>
  </si>
  <si>
    <t>Culver City</t>
  </si>
  <si>
    <t>City Of Commerce</t>
  </si>
  <si>
    <t>Escondido</t>
  </si>
  <si>
    <t>La Mesa</t>
  </si>
  <si>
    <t>Trabuco Canyon</t>
  </si>
  <si>
    <t>El Segundo</t>
  </si>
  <si>
    <t>Bell Gardens</t>
  </si>
  <si>
    <t>San Diego</t>
  </si>
  <si>
    <t>Lakewood</t>
  </si>
  <si>
    <t>Pleasanton</t>
  </si>
  <si>
    <t>Camarillo</t>
  </si>
  <si>
    <t>Sand City</t>
  </si>
  <si>
    <t>Whittier</t>
  </si>
  <si>
    <t>Sherman Oaks</t>
  </si>
  <si>
    <t>Stockton</t>
  </si>
  <si>
    <t>San Francisco</t>
  </si>
  <si>
    <t>Redlands</t>
  </si>
  <si>
    <t>Barstow</t>
  </si>
  <si>
    <t>Upland</t>
  </si>
  <si>
    <t>Ontario</t>
  </si>
  <si>
    <t>Carson</t>
  </si>
  <si>
    <t>Baldwin Park</t>
  </si>
  <si>
    <t>Eureka</t>
  </si>
  <si>
    <t>Irvine</t>
  </si>
  <si>
    <t>Alhambra</t>
  </si>
  <si>
    <t>Hanford</t>
  </si>
  <si>
    <t>Visalia</t>
  </si>
  <si>
    <t>Milpitas</t>
  </si>
  <si>
    <t>San Ramon</t>
  </si>
  <si>
    <t>Fremont</t>
  </si>
  <si>
    <t>Auburn</t>
  </si>
  <si>
    <t>Lake Elsinore</t>
  </si>
  <si>
    <t>Simi Valley</t>
  </si>
  <si>
    <t>Canoga Park</t>
  </si>
  <si>
    <t>Monrovia</t>
  </si>
  <si>
    <t>San Jose</t>
  </si>
  <si>
    <t>Gilroy</t>
  </si>
  <si>
    <t>San Bruno</t>
  </si>
  <si>
    <t>Newark</t>
  </si>
  <si>
    <t>Fullerton</t>
  </si>
  <si>
    <t>Cerritos</t>
  </si>
  <si>
    <t>Santa Ana</t>
  </si>
  <si>
    <t>Union City</t>
  </si>
  <si>
    <t>Daly City</t>
  </si>
  <si>
    <t>Santa Monica</t>
  </si>
  <si>
    <t>Elk Grove</t>
  </si>
  <si>
    <t>El Cajon</t>
  </si>
  <si>
    <t>Oxnard</t>
  </si>
  <si>
    <t>Citrus Heights</t>
  </si>
  <si>
    <t>San Mateo</t>
  </si>
  <si>
    <t>San Ysidro</t>
  </si>
  <si>
    <t>Fontana</t>
  </si>
  <si>
    <t>Sacramento</t>
  </si>
  <si>
    <t>Orange</t>
  </si>
  <si>
    <t>Branch</t>
  </si>
  <si>
    <t>Minnesota</t>
  </si>
  <si>
    <t>Lewiston</t>
  </si>
  <si>
    <t>Idaho</t>
  </si>
  <si>
    <t>Kansas City</t>
  </si>
  <si>
    <t>Missouri</t>
  </si>
  <si>
    <t>Tucson</t>
  </si>
  <si>
    <t>Arizona</t>
  </si>
  <si>
    <t>Casper</t>
  </si>
  <si>
    <t>Wyoming</t>
  </si>
  <si>
    <t>Rock Springs</t>
  </si>
  <si>
    <t>North Las Vegas</t>
  </si>
  <si>
    <t>Nevada</t>
  </si>
  <si>
    <t>Gilbert</t>
  </si>
  <si>
    <t>Sugar Land</t>
  </si>
  <si>
    <t>Texas</t>
  </si>
  <si>
    <t>Loveland</t>
  </si>
  <si>
    <t>Colorado</t>
  </si>
  <si>
    <t>Saginaw</t>
  </si>
  <si>
    <t>Michigan</t>
  </si>
  <si>
    <t>Las Vegas</t>
  </si>
  <si>
    <t>Houston</t>
  </si>
  <si>
    <t>Saint Ann</t>
  </si>
  <si>
    <t>Southgate</t>
  </si>
  <si>
    <t>Missoula</t>
  </si>
  <si>
    <t>Montana</t>
  </si>
  <si>
    <t>Holland</t>
  </si>
  <si>
    <t>Baytown</t>
  </si>
  <si>
    <t>Westland</t>
  </si>
  <si>
    <t>Bothell</t>
  </si>
  <si>
    <t>Washington</t>
  </si>
  <si>
    <t>Milwaukie</t>
  </si>
  <si>
    <t>Oregon</t>
  </si>
  <si>
    <t>Dallas</t>
  </si>
  <si>
    <t>Southfield</t>
  </si>
  <si>
    <t>Bellevue</t>
  </si>
  <si>
    <t>Redford</t>
  </si>
  <si>
    <t>North Sioux City</t>
  </si>
  <si>
    <t>South Dakota</t>
  </si>
  <si>
    <t>Renton</t>
  </si>
  <si>
    <t>Westminster</t>
  </si>
  <si>
    <t>Seattle</t>
  </si>
  <si>
    <t>Redmond</t>
  </si>
  <si>
    <t>Carol Stream</t>
  </si>
  <si>
    <t>Illinois</t>
  </si>
  <si>
    <t>Portland</t>
  </si>
  <si>
    <t>Great Falls</t>
  </si>
  <si>
    <t>Detroit</t>
  </si>
  <si>
    <t>Saint Louis</t>
  </si>
  <si>
    <t>Chicago</t>
  </si>
  <si>
    <t>Sandpoint</t>
  </si>
  <si>
    <t>Midland</t>
  </si>
  <si>
    <t>Phoenix</t>
  </si>
  <si>
    <t>Everett</t>
  </si>
  <si>
    <t>Washougal</t>
  </si>
  <si>
    <t>College Station</t>
  </si>
  <si>
    <t>Lacey</t>
  </si>
  <si>
    <t>Tacoma</t>
  </si>
  <si>
    <t>Woodinville</t>
  </si>
  <si>
    <t>Cedar City</t>
  </si>
  <si>
    <t>Utah</t>
  </si>
  <si>
    <t>Irving</t>
  </si>
  <si>
    <t>Spokane</t>
  </si>
  <si>
    <t>Klamath Falls</t>
  </si>
  <si>
    <t>Garland</t>
  </si>
  <si>
    <t>Racine</t>
  </si>
  <si>
    <t>Wisconsin</t>
  </si>
  <si>
    <t>Santa Fe</t>
  </si>
  <si>
    <t>New Mexico</t>
  </si>
  <si>
    <t>Pontiac</t>
  </si>
  <si>
    <t>San Antonio</t>
  </si>
  <si>
    <t>Wood Dale</t>
  </si>
  <si>
    <t>Elgin</t>
  </si>
  <si>
    <t>Cheyenne</t>
  </si>
  <si>
    <t>Madison Heights</t>
  </si>
  <si>
    <t>Bellingham</t>
  </si>
  <si>
    <t>Park City</t>
  </si>
  <si>
    <t>Round Rock</t>
  </si>
  <si>
    <t>Tigard</t>
  </si>
  <si>
    <t>Fernley</t>
  </si>
  <si>
    <t>Troutdale</t>
  </si>
  <si>
    <t>Federal Way</t>
  </si>
  <si>
    <t>Ogden</t>
  </si>
  <si>
    <t>Hillsboro</t>
  </si>
  <si>
    <t>Riverton</t>
  </si>
  <si>
    <t>Corpus Christi</t>
  </si>
  <si>
    <t>Medford</t>
  </si>
  <si>
    <t>Denby</t>
  </si>
  <si>
    <t>Mesa</t>
  </si>
  <si>
    <t>Chehalis</t>
  </si>
  <si>
    <t>Norridge</t>
  </si>
  <si>
    <t>Puyallup</t>
  </si>
  <si>
    <t>Rio Rancho</t>
  </si>
  <si>
    <t>Cedar Park</t>
  </si>
  <si>
    <t>Monroe</t>
  </si>
  <si>
    <t>Milwaukee</t>
  </si>
  <si>
    <t>Salt Lake City</t>
  </si>
  <si>
    <t>Austin</t>
  </si>
  <si>
    <t>Laredo</t>
  </si>
  <si>
    <t>Duluth</t>
  </si>
  <si>
    <t>Longmont</t>
  </si>
  <si>
    <t>Kent</t>
  </si>
  <si>
    <t>Humble</t>
  </si>
  <si>
    <t>Billings</t>
  </si>
  <si>
    <t>Tooele</t>
  </si>
  <si>
    <t>Bountiful</t>
  </si>
  <si>
    <t>Odessa</t>
  </si>
  <si>
    <t>Beaverton</t>
  </si>
  <si>
    <t>Scottsdale</t>
  </si>
  <si>
    <t>Mosinee</t>
  </si>
  <si>
    <t>Joliet</t>
  </si>
  <si>
    <t>Minneapolis</t>
  </si>
  <si>
    <t>Jefferson City</t>
  </si>
  <si>
    <t>Lynnwood</t>
  </si>
  <si>
    <t>Englewood</t>
  </si>
  <si>
    <t>Denver</t>
  </si>
  <si>
    <t>Longview</t>
  </si>
  <si>
    <t>Port Orchard</t>
  </si>
  <si>
    <t>Novi</t>
  </si>
  <si>
    <t>Ferguson</t>
  </si>
  <si>
    <t>Sequim</t>
  </si>
  <si>
    <t>Kirkland</t>
  </si>
  <si>
    <t>Fort Worth</t>
  </si>
  <si>
    <t>Greeley</t>
  </si>
  <si>
    <t>North Bend</t>
  </si>
  <si>
    <t>Clackamas</t>
  </si>
  <si>
    <t>Carrollton</t>
  </si>
  <si>
    <t>Plano</t>
  </si>
  <si>
    <t>Sparks</t>
  </si>
  <si>
    <t>Zeeland</t>
  </si>
  <si>
    <t>Edina</t>
  </si>
  <si>
    <t>West Chicago</t>
  </si>
  <si>
    <t>Port Huron</t>
  </si>
  <si>
    <t>Kelso</t>
  </si>
  <si>
    <t>Chandler</t>
  </si>
  <si>
    <t>Shelton</t>
  </si>
  <si>
    <t>Las Cruces</t>
  </si>
  <si>
    <t>Woodbury</t>
  </si>
  <si>
    <t>Johnson Creek</t>
  </si>
  <si>
    <t>Peoria</t>
  </si>
  <si>
    <t>Surprise</t>
  </si>
  <si>
    <t>Albany</t>
  </si>
  <si>
    <t>Branson</t>
  </si>
  <si>
    <t>Sandy</t>
  </si>
  <si>
    <t>La Marque</t>
  </si>
  <si>
    <t>Tuscola</t>
  </si>
  <si>
    <t>Salem</t>
  </si>
  <si>
    <t>Mesquite</t>
  </si>
  <si>
    <t>Killeen</t>
  </si>
  <si>
    <t>Wenatchee</t>
  </si>
  <si>
    <t>Idaho Falls</t>
  </si>
  <si>
    <t>Issaquah</t>
  </si>
  <si>
    <t>Parker</t>
  </si>
  <si>
    <t>Kennewick</t>
  </si>
  <si>
    <t>Springfield</t>
  </si>
  <si>
    <t>Arlington</t>
  </si>
  <si>
    <t>Reno</t>
  </si>
  <si>
    <t>Howell</t>
  </si>
  <si>
    <t>Moline</t>
  </si>
  <si>
    <t>Ellensburg</t>
  </si>
  <si>
    <t>Toronto</t>
  </si>
  <si>
    <t>Canada</t>
  </si>
  <si>
    <t>Richmond</t>
  </si>
  <si>
    <t>British Columbia</t>
  </si>
  <si>
    <t>Montreal</t>
  </si>
  <si>
    <t>Quebec</t>
  </si>
  <si>
    <t>Nepean</t>
  </si>
  <si>
    <t>Calgary</t>
  </si>
  <si>
    <t>Alberta</t>
  </si>
  <si>
    <t>Ottawa</t>
  </si>
  <si>
    <t>London</t>
  </si>
  <si>
    <t>England</t>
  </si>
  <si>
    <t>United Kingdom</t>
  </si>
  <si>
    <t>Victoria</t>
  </si>
  <si>
    <t>Mississauga</t>
  </si>
  <si>
    <t>Richmond Hill</t>
  </si>
  <si>
    <t>Brampton</t>
  </si>
  <si>
    <t>Burnaby</t>
  </si>
  <si>
    <t>High Wycombe</t>
  </si>
  <si>
    <t>Bracknell</t>
  </si>
  <si>
    <t>Winnipeg</t>
  </si>
  <si>
    <t>Manitoba</t>
  </si>
  <si>
    <t>Vancouver</t>
  </si>
  <si>
    <t>Oxon</t>
  </si>
  <si>
    <t>Surrey</t>
  </si>
  <si>
    <t>Saint John</t>
  </si>
  <si>
    <t>Brunswick</t>
  </si>
  <si>
    <t>Etobicoke</t>
  </si>
  <si>
    <t>W. York</t>
  </si>
  <si>
    <t>Woolston</t>
  </si>
  <si>
    <t>Brossard</t>
  </si>
  <si>
    <t>Maidenhead</t>
  </si>
  <si>
    <t>Warrington</t>
  </si>
  <si>
    <t>Reading</t>
  </si>
  <si>
    <t>Barrie</t>
  </si>
  <si>
    <t>Kanata</t>
  </si>
  <si>
    <t>Liverpool</t>
  </si>
  <si>
    <t>Weston</t>
  </si>
  <si>
    <t>Chalk Riber</t>
  </si>
  <si>
    <t>Dorval</t>
  </si>
  <si>
    <t>Aurora</t>
  </si>
  <si>
    <t>Birmingham</t>
  </si>
  <si>
    <t>Outremont</t>
  </si>
  <si>
    <t>Oxford</t>
  </si>
  <si>
    <t>Basingstoke Hants</t>
  </si>
  <si>
    <t>Hull</t>
  </si>
  <si>
    <t>Ville De'anjou</t>
  </si>
  <si>
    <t>Berkshire</t>
  </si>
  <si>
    <t>York</t>
  </si>
  <si>
    <t>Edmonton</t>
  </si>
  <si>
    <t>Markham</t>
  </si>
  <si>
    <t>Milton Keynes</t>
  </si>
  <si>
    <t>Gloucestershire</t>
  </si>
  <si>
    <t>Lancaster</t>
  </si>
  <si>
    <t>Kingston</t>
  </si>
  <si>
    <t>Abingdon</t>
  </si>
  <si>
    <t>Berks</t>
  </si>
  <si>
    <t>Waterloo</t>
  </si>
  <si>
    <t>Pnot-Rouge</t>
  </si>
  <si>
    <t>Wokingham</t>
  </si>
  <si>
    <t>Sillery</t>
  </si>
  <si>
    <t>Sainte-Foy</t>
  </si>
  <si>
    <t>Cambridge</t>
  </si>
  <si>
    <t>West Sussex</t>
  </si>
  <si>
    <t>ProductName</t>
  </si>
  <si>
    <t>Color</t>
  </si>
  <si>
    <t>Size</t>
  </si>
  <si>
    <t>ListPrice</t>
  </si>
  <si>
    <t>Category</t>
  </si>
  <si>
    <t>Model</t>
  </si>
  <si>
    <t>Sport-100 Helmet, Red</t>
  </si>
  <si>
    <t>Red</t>
  </si>
  <si>
    <t>M</t>
  </si>
  <si>
    <t>Helmets</t>
  </si>
  <si>
    <t>Sport-100</t>
  </si>
  <si>
    <t>Sport-100 Helmet, Black</t>
  </si>
  <si>
    <t>Black</t>
  </si>
  <si>
    <t>Mountain Bike Socks, M</t>
  </si>
  <si>
    <t>White</t>
  </si>
  <si>
    <t>Socks</t>
  </si>
  <si>
    <t>Mountain Bike Socks</t>
  </si>
  <si>
    <t>Sport-100 Helmet, Blue</t>
  </si>
  <si>
    <t>Blue</t>
  </si>
  <si>
    <t>AWC Logo Cap</t>
  </si>
  <si>
    <t>Multi</t>
  </si>
  <si>
    <t>Caps</t>
  </si>
  <si>
    <t>Cycling Cap</t>
  </si>
  <si>
    <t>Long-Sleeve Logo Jersey, M</t>
  </si>
  <si>
    <t>Jerseys</t>
  </si>
  <si>
    <t>Long-Sleeve Logo Jersey</t>
  </si>
  <si>
    <t>LL Fork</t>
  </si>
  <si>
    <t>Not Specified</t>
  </si>
  <si>
    <t>Forks</t>
  </si>
  <si>
    <t>ML Fork</t>
  </si>
  <si>
    <t>HL Fork</t>
  </si>
  <si>
    <t>LL Headset</t>
  </si>
  <si>
    <t>Headsets</t>
  </si>
  <si>
    <t>ML Headset</t>
  </si>
  <si>
    <t>HL Headset</t>
  </si>
  <si>
    <t>LL Mountain Handlebars</t>
  </si>
  <si>
    <t>Handlebars</t>
  </si>
  <si>
    <t>ML Mountain Handlebars</t>
  </si>
  <si>
    <t>HL Mountain Handlebars</t>
  </si>
  <si>
    <t>LL Road Handlebars</t>
  </si>
  <si>
    <t>ML Road Handlebars</t>
  </si>
  <si>
    <t>HL Road Handlebars</t>
  </si>
  <si>
    <t>LL Mountain Front Wheel</t>
  </si>
  <si>
    <t>Wheels</t>
  </si>
  <si>
    <t>ML Mountain Front Wheel</t>
  </si>
  <si>
    <t>HL Mountain Front Wheel</t>
  </si>
  <si>
    <t>LL Road Front Wheel</t>
  </si>
  <si>
    <t>ML Road Front Wheel</t>
  </si>
  <si>
    <t>HL Road Front Wheel</t>
  </si>
  <si>
    <t>Touring Front Wheel</t>
  </si>
  <si>
    <t>LL Mountain Rear Wheel</t>
  </si>
  <si>
    <t>ML Mountain Rear Wheel</t>
  </si>
  <si>
    <t>HL Mountain Rear Wheel</t>
  </si>
  <si>
    <t>LL Road Rear Wheel</t>
  </si>
  <si>
    <t>ML Road Rear Wheel</t>
  </si>
  <si>
    <t>HL Road Rear Wheel</t>
  </si>
  <si>
    <t>Touring Rear Wheel</t>
  </si>
  <si>
    <t>Touring-Panniers, Large</t>
  </si>
  <si>
    <t>Grey</t>
  </si>
  <si>
    <t>Panniers</t>
  </si>
  <si>
    <t>Touring-Panniers</t>
  </si>
  <si>
    <t>Cable Lock</t>
  </si>
  <si>
    <t>Locks</t>
  </si>
  <si>
    <t>Minipump</t>
  </si>
  <si>
    <t>Pumps</t>
  </si>
  <si>
    <t>Mountain Pump</t>
  </si>
  <si>
    <t>Taillights - Battery-Powered</t>
  </si>
  <si>
    <t>Lights</t>
  </si>
  <si>
    <t>Taillight</t>
  </si>
  <si>
    <t>Headlights - Dual-Beam</t>
  </si>
  <si>
    <t>Headlights - Weatherproof</t>
  </si>
  <si>
    <t>Men's Sports Shorts, M</t>
  </si>
  <si>
    <t>Shorts</t>
  </si>
  <si>
    <t>Men's Sports Shorts</t>
  </si>
  <si>
    <t>Women's Tights, M</t>
  </si>
  <si>
    <t>Tights</t>
  </si>
  <si>
    <t>Women's Tights</t>
  </si>
  <si>
    <t>Men's Bib-Shorts, M</t>
  </si>
  <si>
    <t>Bib-Shorts</t>
  </si>
  <si>
    <t>Men's Bib-Shorts</t>
  </si>
  <si>
    <t>Half-Finger Gloves, M</t>
  </si>
  <si>
    <t>Gloves</t>
  </si>
  <si>
    <t>Half-Finger Gloves</t>
  </si>
  <si>
    <t>Full-Finger Gloves, M</t>
  </si>
  <si>
    <t>Full-Finger Gloves</t>
  </si>
  <si>
    <t>Classic Vest, M</t>
  </si>
  <si>
    <t>Vests</t>
  </si>
  <si>
    <t>Classic Vest</t>
  </si>
  <si>
    <t>Women's Mountain Shorts, M</t>
  </si>
  <si>
    <t>Women's Mountain Shorts</t>
  </si>
  <si>
    <t>Water Bottle - 30 oz.</t>
  </si>
  <si>
    <t>Bottles and Cages</t>
  </si>
  <si>
    <t>Water Bottle</t>
  </si>
  <si>
    <t>Mountain Bottle Cage</t>
  </si>
  <si>
    <t>Road Bottle Cage</t>
  </si>
  <si>
    <t>Patch Kit/8 Patches</t>
  </si>
  <si>
    <t>Tires and Tubes</t>
  </si>
  <si>
    <t>Patch kit</t>
  </si>
  <si>
    <t>Racing Socks, M</t>
  </si>
  <si>
    <t>Racing Socks</t>
  </si>
  <si>
    <t>Hitch Rack - 4-Bike</t>
  </si>
  <si>
    <t>Bike Racks</t>
  </si>
  <si>
    <t>Bike Wash - Dissolver</t>
  </si>
  <si>
    <t>Cleaners</t>
  </si>
  <si>
    <t>Bike Wash</t>
  </si>
  <si>
    <t>Fender Set - Mountain</t>
  </si>
  <si>
    <t>Fenders</t>
  </si>
  <si>
    <t>All-Purpose Bike Stand</t>
  </si>
  <si>
    <t>Bike Stands</t>
  </si>
  <si>
    <t>Short-Sleeve Classic Jersey, M</t>
  </si>
  <si>
    <t>Yellow</t>
  </si>
  <si>
    <t>Short-Sleeve Classic Jersey</t>
  </si>
  <si>
    <t>Rear Derailleur</t>
  </si>
  <si>
    <t>Silver</t>
  </si>
  <si>
    <t>Derailleurs</t>
  </si>
  <si>
    <t>Rear Brakes</t>
  </si>
  <si>
    <t>Brakes</t>
  </si>
  <si>
    <t>LL Mountain Seat/Saddle</t>
  </si>
  <si>
    <t>Saddles</t>
  </si>
  <si>
    <t>LL Mountain Seat/Saddle 2</t>
  </si>
  <si>
    <t>ML Mountain Seat/Saddle</t>
  </si>
  <si>
    <t>ML Mountain Seat/Saddle 2</t>
  </si>
  <si>
    <t>HL Mountain Seat/Saddle</t>
  </si>
  <si>
    <t>HL Mountain Seat/Saddle 2</t>
  </si>
  <si>
    <t>LL Road Seat/Saddle</t>
  </si>
  <si>
    <t>LL Road Seat/Saddle 1</t>
  </si>
  <si>
    <t>ML Road Seat/Saddle</t>
  </si>
  <si>
    <t>ML Road Seat/Saddle 2</t>
  </si>
  <si>
    <t>HL Road Seat/Saddle</t>
  </si>
  <si>
    <t>HL Road Seat/Saddle 2</t>
  </si>
  <si>
    <t>LL Touring Seat/Saddle</t>
  </si>
  <si>
    <t>ML Touring Seat/Saddle</t>
  </si>
  <si>
    <t>HL Touring Seat/Saddle</t>
  </si>
  <si>
    <t>Mountain Tire Tube</t>
  </si>
  <si>
    <t>Road Tire Tube</t>
  </si>
  <si>
    <t>Touring Tire Tube</t>
  </si>
  <si>
    <t>LL Mountain Tire</t>
  </si>
  <si>
    <t>ML Mountain Tire</t>
  </si>
  <si>
    <t>HL Mountain Tire</t>
  </si>
  <si>
    <t>LL Road Tire</t>
  </si>
  <si>
    <t>ML Road Tire</t>
  </si>
  <si>
    <t>HL Road Tire</t>
  </si>
  <si>
    <t>Touring Tire</t>
  </si>
  <si>
    <t>LL Mountain Pedal</t>
  </si>
  <si>
    <t>Silver/Black</t>
  </si>
  <si>
    <t>Pedals</t>
  </si>
  <si>
    <t>ML Mountain Pedal</t>
  </si>
  <si>
    <t>HL Mountain Pedal</t>
  </si>
  <si>
    <t>LL Road Pedal</t>
  </si>
  <si>
    <t>ML Road Pedal</t>
  </si>
  <si>
    <t>HL Road Pedal</t>
  </si>
  <si>
    <t>Touring Pedal</t>
  </si>
  <si>
    <t>Front Derailleur</t>
  </si>
  <si>
    <t>LL Touring Handlebars</t>
  </si>
  <si>
    <t>HL Touring Handlebars</t>
  </si>
  <si>
    <t>Front Brakes</t>
  </si>
  <si>
    <t>LL Crankset</t>
  </si>
  <si>
    <t>Cranksets</t>
  </si>
  <si>
    <t>ML Crankset</t>
  </si>
  <si>
    <t>HL Crankset</t>
  </si>
  <si>
    <t>Chain</t>
  </si>
  <si>
    <t>Chains</t>
  </si>
  <si>
    <t>LL Bottom Bracket</t>
  </si>
  <si>
    <t>Bottom Brackets</t>
  </si>
  <si>
    <t>ML Bottom Bracket</t>
  </si>
  <si>
    <t>HL Bottom Bracket</t>
  </si>
  <si>
    <t>HL Road Frame - Black, 58</t>
  </si>
  <si>
    <t>58</t>
  </si>
  <si>
    <t>Road Frames</t>
  </si>
  <si>
    <t>HL Road Frame</t>
  </si>
  <si>
    <t>HL Road Frame - Red, 58</t>
  </si>
  <si>
    <t>Mountain Bike Socks, L</t>
  </si>
  <si>
    <t>L</t>
  </si>
  <si>
    <t>Long-Sleeve Logo Jersey, S</t>
  </si>
  <si>
    <t>S</t>
  </si>
  <si>
    <t>Long-Sleeve Logo Jersey, L</t>
  </si>
  <si>
    <t>Long-Sleeve Logo Jersey, XL</t>
  </si>
  <si>
    <t>XL</t>
  </si>
  <si>
    <t>HL Road Frame - Red, 62</t>
  </si>
  <si>
    <t>62</t>
  </si>
  <si>
    <t>HL Road Frame - Red, 44</t>
  </si>
  <si>
    <t>44</t>
  </si>
  <si>
    <t>HL Road Frame - Red, 48</t>
  </si>
  <si>
    <t>48</t>
  </si>
  <si>
    <t>HL Road Frame - Red, 52</t>
  </si>
  <si>
    <t>52</t>
  </si>
  <si>
    <t>HL Road Frame - Red, 56</t>
  </si>
  <si>
    <t>56</t>
  </si>
  <si>
    <t>LL Road Frame - Black, 58</t>
  </si>
  <si>
    <t>LL Road Frame</t>
  </si>
  <si>
    <t>LL Road Frame - Black, 60</t>
  </si>
  <si>
    <t>60</t>
  </si>
  <si>
    <t>LL Road Frame - Black, 62</t>
  </si>
  <si>
    <t>LL Road Frame - Red, 44</t>
  </si>
  <si>
    <t>LL Road Frame - Red, 48</t>
  </si>
  <si>
    <t>LL Road Frame - Red, 52</t>
  </si>
  <si>
    <t>LL Road Frame - Red, 58</t>
  </si>
  <si>
    <t>LL Road Frame - Red, 60</t>
  </si>
  <si>
    <t>LL Road Frame - Red, 62</t>
  </si>
  <si>
    <t>ML Road Frame - Red, 44</t>
  </si>
  <si>
    <t>ML Road Frame</t>
  </si>
  <si>
    <t>ML Road Frame - Red, 48</t>
  </si>
  <si>
    <t>ML Road Frame - Red, 52</t>
  </si>
  <si>
    <t>ML Road Frame - Red, 58</t>
  </si>
  <si>
    <t>ML Road Frame - Red, 60</t>
  </si>
  <si>
    <t>LL Road Frame - Black, 44</t>
  </si>
  <si>
    <t>LL Road Frame - Black, 48</t>
  </si>
  <si>
    <t>LL Road Frame - Black, 52</t>
  </si>
  <si>
    <t>HL Mountain Frame - Silver, 42</t>
  </si>
  <si>
    <t>42</t>
  </si>
  <si>
    <t>Mountain Frames</t>
  </si>
  <si>
    <t>HL Mountain Frame</t>
  </si>
  <si>
    <t>HL Mountain Frame - Silver, 44</t>
  </si>
  <si>
    <t>HL Mountain Frame - Silver, 48</t>
  </si>
  <si>
    <t>HL Mountain Frame - Silver, 46</t>
  </si>
  <si>
    <t>46</t>
  </si>
  <si>
    <t>HL Mountain Frame - Black, 42</t>
  </si>
  <si>
    <t>HL Mountain Frame - Black, 44</t>
  </si>
  <si>
    <t>HL Mountain Frame - Black, 48</t>
  </si>
  <si>
    <t>HL Mountain Frame - Black, 46</t>
  </si>
  <si>
    <t>HL Mountain Frame - Black, 38</t>
  </si>
  <si>
    <t>38</t>
  </si>
  <si>
    <t>HL Mountain Frame - Silver, 38</t>
  </si>
  <si>
    <t>Road-150 Red, 62</t>
  </si>
  <si>
    <t>Road Bikes</t>
  </si>
  <si>
    <t>Road-150</t>
  </si>
  <si>
    <t>Road-150 Red, 44</t>
  </si>
  <si>
    <t>Road-150 Red, 48</t>
  </si>
  <si>
    <t>Road-150 Red, 52</t>
  </si>
  <si>
    <t>Road-150 Red, 56</t>
  </si>
  <si>
    <t>Road-450 Red, 58</t>
  </si>
  <si>
    <t>Road-450</t>
  </si>
  <si>
    <t>Road-450 Red, 60</t>
  </si>
  <si>
    <t>Road-450 Red, 44</t>
  </si>
  <si>
    <t>Road-450 Red, 48</t>
  </si>
  <si>
    <t>Road-450 Red, 52</t>
  </si>
  <si>
    <t>Road-650 Red, 58</t>
  </si>
  <si>
    <t>Road-650</t>
  </si>
  <si>
    <t>Road-650 Red, 60</t>
  </si>
  <si>
    <t>Road-650 Red, 62</t>
  </si>
  <si>
    <t>Road-650 Red, 44</t>
  </si>
  <si>
    <t>Road-650 Red, 48</t>
  </si>
  <si>
    <t>Road-650 Red, 52</t>
  </si>
  <si>
    <t>Road-650 Black, 58</t>
  </si>
  <si>
    <t>Road-650 Black, 60</t>
  </si>
  <si>
    <t>Road-650 Black, 62</t>
  </si>
  <si>
    <t>Road-650 Black, 44</t>
  </si>
  <si>
    <t>Road-650 Black, 48</t>
  </si>
  <si>
    <t>Road-650 Black, 52</t>
  </si>
  <si>
    <t>Mountain-100 Silver, 38</t>
  </si>
  <si>
    <t>Mountain Bikes</t>
  </si>
  <si>
    <t>Mountain-100</t>
  </si>
  <si>
    <t>Mountain-100 Silver, 42</t>
  </si>
  <si>
    <t>Mountain-100 Silver, 44</t>
  </si>
  <si>
    <t>Mountain-100 Silver, 48</t>
  </si>
  <si>
    <t>Mountain-100 Black, 38</t>
  </si>
  <si>
    <t>Mountain-100 Black, 42</t>
  </si>
  <si>
    <t>Mountain-100 Black, 44</t>
  </si>
  <si>
    <t>Mountain-100 Black, 48</t>
  </si>
  <si>
    <t>Mountain-200 Silver, 38</t>
  </si>
  <si>
    <t>Mountain-200</t>
  </si>
  <si>
    <t>Mountain-200 Silver, 42</t>
  </si>
  <si>
    <t>Mountain-200 Silver, 46</t>
  </si>
  <si>
    <t>Mountain-200 Black, 38</t>
  </si>
  <si>
    <t>Mountain-200 Black, 42</t>
  </si>
  <si>
    <t>Mountain-200 Black, 46</t>
  </si>
  <si>
    <t>Mountain-300 Black, 38</t>
  </si>
  <si>
    <t>Mountain-300</t>
  </si>
  <si>
    <t>Mountain-300 Black, 40</t>
  </si>
  <si>
    <t>40</t>
  </si>
  <si>
    <t>Mountain-300 Black, 44</t>
  </si>
  <si>
    <t>Mountain-300 Black, 48</t>
  </si>
  <si>
    <t>Road-250 Red, 44</t>
  </si>
  <si>
    <t>Road-250</t>
  </si>
  <si>
    <t>Road-250 Red, 48</t>
  </si>
  <si>
    <t>Road-250 Red, 52</t>
  </si>
  <si>
    <t>Road-250 Red, 58</t>
  </si>
  <si>
    <t>Road-250 Black, 44</t>
  </si>
  <si>
    <t>Road-250 Black, 48</t>
  </si>
  <si>
    <t>Road-250 Black, 52</t>
  </si>
  <si>
    <t>Road-250 Black, 58</t>
  </si>
  <si>
    <t>Road-550-W Yellow, 38</t>
  </si>
  <si>
    <t>Road-550-W</t>
  </si>
  <si>
    <t>Road-550-W Yellow, 40</t>
  </si>
  <si>
    <t>Road-550-W Yellow, 42</t>
  </si>
  <si>
    <t>Road-550-W Yellow, 44</t>
  </si>
  <si>
    <t>Road-550-W Yellow, 48</t>
  </si>
  <si>
    <t>ML Mountain Frame - Black, 38</t>
  </si>
  <si>
    <t>ML Mountain Frame-W</t>
  </si>
  <si>
    <t>ML Road Frame-W - Yellow, 38</t>
  </si>
  <si>
    <t>ML Road Frame-W</t>
  </si>
  <si>
    <t>ML Mountain Frame - Black, 40</t>
  </si>
  <si>
    <t>ML Mountain Frame</t>
  </si>
  <si>
    <t>ML Mountain Frame - Black, 44</t>
  </si>
  <si>
    <t>ML Mountain Frame - Black, 48</t>
  </si>
  <si>
    <t>ML Road Frame-W - Yellow, 40</t>
  </si>
  <si>
    <t>ML Road Frame-W - Yellow, 42</t>
  </si>
  <si>
    <t>ML Road Frame-W - Yellow, 44</t>
  </si>
  <si>
    <t>ML Road Frame-W - Yellow, 48</t>
  </si>
  <si>
    <t>HL Road Frame - Black, 62</t>
  </si>
  <si>
    <t>HL Road Frame - Black, 44</t>
  </si>
  <si>
    <t>HL Road Frame - Black, 48</t>
  </si>
  <si>
    <t>HL Road Frame - Black, 52</t>
  </si>
  <si>
    <t>Men's Sports Shorts, S</t>
  </si>
  <si>
    <t>Men's Sports Shorts, L</t>
  </si>
  <si>
    <t>Men's Sports Shorts, XL</t>
  </si>
  <si>
    <t>Women's Tights, S</t>
  </si>
  <si>
    <t>Women's Tights, L</t>
  </si>
  <si>
    <t>Men's Bib-Shorts, S</t>
  </si>
  <si>
    <t>Men's Bib-Shorts, L</t>
  </si>
  <si>
    <t>Half-Finger Gloves, S</t>
  </si>
  <si>
    <t>Half-Finger Gloves, L</t>
  </si>
  <si>
    <t>Full-Finger Gloves, S</t>
  </si>
  <si>
    <t>Full-Finger Gloves, L</t>
  </si>
  <si>
    <t>Classic Vest, S</t>
  </si>
  <si>
    <t>Classic Vest, L</t>
  </si>
  <si>
    <t>Women's Mountain Shorts, S</t>
  </si>
  <si>
    <t>Women's Mountain Shorts, L</t>
  </si>
  <si>
    <t>Racing Socks, L</t>
  </si>
  <si>
    <t>Hydration Pack - 70 oz.</t>
  </si>
  <si>
    <t>70</t>
  </si>
  <si>
    <t>Hydration Packs</t>
  </si>
  <si>
    <t>Hydration Pack</t>
  </si>
  <si>
    <t>Short-Sleeve Classic Jersey, S</t>
  </si>
  <si>
    <t>Short-Sleeve Classic Jersey, L</t>
  </si>
  <si>
    <t>Short-Sleeve Classic Jersey, XL</t>
  </si>
  <si>
    <t>HL Touring Frame - Yellow, 60</t>
  </si>
  <si>
    <t>Touring Frames</t>
  </si>
  <si>
    <t>HL Touring Frame</t>
  </si>
  <si>
    <t>LL Touring Frame - Yellow, 62</t>
  </si>
  <si>
    <t>LL Touring Frame</t>
  </si>
  <si>
    <t>HL Touring Frame - Yellow, 46</t>
  </si>
  <si>
    <t>HL Touring Frame - Yellow, 50</t>
  </si>
  <si>
    <t>50</t>
  </si>
  <si>
    <t>HL Touring Frame - Yellow, 54</t>
  </si>
  <si>
    <t>54</t>
  </si>
  <si>
    <t>HL Touring Frame - Blue, 46</t>
  </si>
  <si>
    <t>HL Touring Frame - Blue, 50</t>
  </si>
  <si>
    <t>HL Touring Frame - Blue, 54</t>
  </si>
  <si>
    <t>HL Touring Frame - Blue, 60</t>
  </si>
  <si>
    <t>LL Touring Frame - Blue, 50</t>
  </si>
  <si>
    <t>LL Touring Frame - Blue, 54</t>
  </si>
  <si>
    <t>LL Touring Frame - Blue, 58</t>
  </si>
  <si>
    <t>LL Touring Frame - Blue, 62</t>
  </si>
  <si>
    <t>LL Touring Frame - Yellow, 44</t>
  </si>
  <si>
    <t>LL Touring Frame - Yellow, 50</t>
  </si>
  <si>
    <t>LL Touring Frame - Yellow, 54</t>
  </si>
  <si>
    <t>LL Touring Frame - Yellow, 58</t>
  </si>
  <si>
    <t>LL Touring Frame - Blue, 44</t>
  </si>
  <si>
    <t>ML Mountain Frame-W - Silver, 40</t>
  </si>
  <si>
    <t>ML Mountain Frame-W - Silver, 42</t>
  </si>
  <si>
    <t>ML Mountain Frame-W - Silver, 46</t>
  </si>
  <si>
    <t>LL Mountain Frame - Silver, 42</t>
  </si>
  <si>
    <t>LL Mountain Frame</t>
  </si>
  <si>
    <t>LL Mountain Frame - Silver, 44</t>
  </si>
  <si>
    <t>LL Mountain Frame - Silver, 48</t>
  </si>
  <si>
    <t>LL Mountain Frame - Silver, 52</t>
  </si>
  <si>
    <t>LL Mountain Frame - Black, 42</t>
  </si>
  <si>
    <t>LL Mountain Frame - Black, 44</t>
  </si>
  <si>
    <t>LL Mountain Frame - Black, 48</t>
  </si>
  <si>
    <t>LL Mountain Frame - Black, 52</t>
  </si>
  <si>
    <t>ML Mountain Frame-W - Silver, 38</t>
  </si>
  <si>
    <t>LL Mountain Frame - Black, 40</t>
  </si>
  <si>
    <t>LL Mountain Frame - Silver, 40</t>
  </si>
  <si>
    <t>Touring-2000 Blue, 60</t>
  </si>
  <si>
    <t>Touring Bikes</t>
  </si>
  <si>
    <t>Touring-2000</t>
  </si>
  <si>
    <t>Touring-1000 Yellow, 46</t>
  </si>
  <si>
    <t>Touring-1000</t>
  </si>
  <si>
    <t>Touring-1000 Yellow, 50</t>
  </si>
  <si>
    <t>Touring-1000 Yellow, 54</t>
  </si>
  <si>
    <t>Touring-1000 Yellow, 60</t>
  </si>
  <si>
    <t>Touring-3000 Blue, 54</t>
  </si>
  <si>
    <t>Touring-3000</t>
  </si>
  <si>
    <t>Touring-3000 Blue, 58</t>
  </si>
  <si>
    <t>Touring-3000 Blue, 62</t>
  </si>
  <si>
    <t>Touring-3000 Yellow, 44</t>
  </si>
  <si>
    <t>Touring-3000 Yellow, 50</t>
  </si>
  <si>
    <t>Touring-3000 Yellow, 54</t>
  </si>
  <si>
    <t>Touring-3000 Yellow, 58</t>
  </si>
  <si>
    <t>Touring-3000 Yellow, 62</t>
  </si>
  <si>
    <t>Touring-1000 Blue, 46</t>
  </si>
  <si>
    <t>Touring-1000 Blue, 50</t>
  </si>
  <si>
    <t>Touring-1000 Blue, 54</t>
  </si>
  <si>
    <t>Touring-1000 Blue, 60</t>
  </si>
  <si>
    <t>Touring-2000 Blue, 46</t>
  </si>
  <si>
    <t>Touring-2000 Blue, 50</t>
  </si>
  <si>
    <t>Touring-2000 Blue, 54</t>
  </si>
  <si>
    <t>Road-350-W Yellow, 40</t>
  </si>
  <si>
    <t>Road-350-W</t>
  </si>
  <si>
    <t>Road-350-W Yellow, 42</t>
  </si>
  <si>
    <t>Road-350-W Yellow, 44</t>
  </si>
  <si>
    <t>Road-350-W Yellow, 48</t>
  </si>
  <si>
    <t>Road-750 Black, 58</t>
  </si>
  <si>
    <t>Road-750</t>
  </si>
  <si>
    <t>Touring-3000 Blue, 44</t>
  </si>
  <si>
    <t>Touring-3000 Blue, 50</t>
  </si>
  <si>
    <t>Mountain-400-W Silver, 38</t>
  </si>
  <si>
    <t>Mountain-400-W</t>
  </si>
  <si>
    <t>Mountain-400-W Silver, 40</t>
  </si>
  <si>
    <t>Mountain-400-W Silver, 42</t>
  </si>
  <si>
    <t>Mountain-400-W Silver, 46</t>
  </si>
  <si>
    <t>Mountain-500 Silver, 40</t>
  </si>
  <si>
    <t>Mountain-500</t>
  </si>
  <si>
    <t>Mountain-500 Silver, 42</t>
  </si>
  <si>
    <t>Mountain-500 Silver, 44</t>
  </si>
  <si>
    <t>Mountain-500 Silver, 48</t>
  </si>
  <si>
    <t>Mountain-500 Silver, 52</t>
  </si>
  <si>
    <t>Mountain-500 Black, 40</t>
  </si>
  <si>
    <t>Mountain-500 Black, 42</t>
  </si>
  <si>
    <t>Mountain-500 Black, 44</t>
  </si>
  <si>
    <t>Mountain-500 Black, 48</t>
  </si>
  <si>
    <t>Mountain-500 Black, 52</t>
  </si>
  <si>
    <t>Road-750 Black, 44</t>
  </si>
  <si>
    <t>Road-750 Black, 48</t>
  </si>
  <si>
    <t>Road-750 Black, 52</t>
  </si>
  <si>
    <t>Year</t>
  </si>
  <si>
    <t>Month</t>
  </si>
  <si>
    <t>June</t>
  </si>
  <si>
    <t>January</t>
  </si>
  <si>
    <t>Q1</t>
  </si>
  <si>
    <t>Tuesday</t>
  </si>
  <si>
    <t>Wednesday</t>
  </si>
  <si>
    <t>Thursday</t>
  </si>
  <si>
    <t>Friday</t>
  </si>
  <si>
    <t>Saturday</t>
  </si>
  <si>
    <t>Sunday</t>
  </si>
  <si>
    <t>Monday</t>
  </si>
  <si>
    <t>February</t>
  </si>
  <si>
    <t>March</t>
  </si>
  <si>
    <t>April</t>
  </si>
  <si>
    <t>Q2</t>
  </si>
  <si>
    <t>May</t>
  </si>
  <si>
    <t>July</t>
  </si>
  <si>
    <t>Q3</t>
  </si>
  <si>
    <t>August</t>
  </si>
  <si>
    <t>September</t>
  </si>
  <si>
    <t>October</t>
  </si>
  <si>
    <t>Q4</t>
  </si>
  <si>
    <t>November</t>
  </si>
  <si>
    <t>December</t>
  </si>
  <si>
    <t>Date</t>
  </si>
  <si>
    <t>Year_number</t>
  </si>
  <si>
    <t>Month_name</t>
  </si>
  <si>
    <t>Quarter</t>
  </si>
  <si>
    <t>Weekday</t>
  </si>
  <si>
    <t>Week Number</t>
  </si>
  <si>
    <t>Order_Date</t>
  </si>
  <si>
    <t>Grand Total</t>
  </si>
  <si>
    <t>Total Sales</t>
  </si>
  <si>
    <t xml:space="preserve">Total Sales by State : </t>
  </si>
  <si>
    <t>State</t>
  </si>
  <si>
    <t>Customer Count</t>
  </si>
  <si>
    <t>Total_ Quantaity</t>
  </si>
  <si>
    <t xml:space="preserve">Total Qun by Top 10 Customers : </t>
  </si>
  <si>
    <t xml:space="preserve">Total Sales by Top 10 City : </t>
  </si>
  <si>
    <t>CountaryRegoin</t>
  </si>
  <si>
    <t>Total Sales by Countary Regoin :</t>
  </si>
  <si>
    <t>By Customers</t>
  </si>
  <si>
    <t>KPIS :</t>
  </si>
  <si>
    <t>Product Count</t>
  </si>
  <si>
    <t>Sales per Customer</t>
  </si>
  <si>
    <t>Total Sales by Top 10 ProductName :</t>
  </si>
  <si>
    <t>Total Quantsity by Top 10 ProductName :</t>
  </si>
  <si>
    <t>High</t>
  </si>
  <si>
    <t>Low</t>
  </si>
  <si>
    <t>Medium</t>
  </si>
  <si>
    <t>Total Quantsity and Sales by Price Cat Classify  :</t>
  </si>
  <si>
    <t>Price_Cat_Classify</t>
  </si>
  <si>
    <t>Total Sales by Color :</t>
  </si>
  <si>
    <t>Total Sales , Qua by Year :</t>
  </si>
  <si>
    <t>Product and Year</t>
  </si>
  <si>
    <t>KPIS</t>
  </si>
  <si>
    <t>Total Sales , Qua by Month :</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</si>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</sst>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_(&quot;$&quot;* #,##0_);_(&quot;$&quot;* \(#,##0\);_(&quot;$&quot;* &quot;-&quot;??_);_(@_)"/>
    <numFmt numFmtId="165" formatCode="&quot;$&quot;#,##0"/>
  </numFmts>
  <fonts count="4" x14ac:knownFonts="1">
    <font>
      <sz val="11"/>
      <color theme="1"/>
      <name val="Calibri"/>
      <family val="2"/>
      <scheme val="minor"/>
    </font>
    <font>
      <b/>
      <sz val="11"/>
      <color theme="1"/>
      <name val="Calibri"/>
      <family val="2"/>
      <scheme val="minor"/>
    </font>
    <font>
      <b/>
      <sz val="12"/>
      <color theme="1"/>
      <name val="Calibri"/>
      <family val="2"/>
      <scheme val="minor"/>
    </font>
    <font>
      <sz val="11"/>
      <color theme="4" tint="-0.249977111117893"/>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13">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2" borderId="0" xfId="0" applyFill="1"/>
    <xf numFmtId="9" fontId="0" fillId="0" borderId="0" xfId="0" applyNumberFormat="1"/>
    <xf numFmtId="164" fontId="0" fillId="0" borderId="0" xfId="0" applyNumberFormat="1"/>
    <xf numFmtId="165" fontId="0" fillId="0" borderId="0" xfId="0" applyNumberFormat="1"/>
    <xf numFmtId="0" fontId="2" fillId="3" borderId="0" xfId="0" applyFont="1" applyFill="1" applyAlignment="1">
      <alignment horizontal="center"/>
    </xf>
    <xf numFmtId="0" fontId="0" fillId="2" borderId="0" xfId="0" applyFill="1" applyAlignment="1">
      <alignment horizontal="center"/>
    </xf>
    <xf numFmtId="0" fontId="1" fillId="2" borderId="0" xfId="0" applyFont="1" applyFill="1" applyAlignment="1">
      <alignment horizontal="center"/>
    </xf>
    <xf numFmtId="0" fontId="1" fillId="2" borderId="0" xfId="0" applyFont="1" applyFill="1" applyAlignment="1">
      <alignment horizontal="left"/>
    </xf>
    <xf numFmtId="0" fontId="3" fillId="4" borderId="0" xfId="0" applyFont="1" applyFill="1"/>
  </cellXfs>
  <cellStyles count="1">
    <cellStyle name="Normal" xfId="0" builtinId="0"/>
  </cellStyles>
  <dxfs count="26">
    <dxf>
      <numFmt numFmtId="27" formatCode="m/d/yyyy\ h:mm"/>
    </dxf>
    <dxf>
      <numFmt numFmtId="164" formatCode="_(&quot;$&quot;* #,##0_);_(&quot;$&quot;* \(#,##0\);_(&quot;$&quot;* &quot;-&quot;??_);_(@_)"/>
    </dxf>
    <dxf>
      <numFmt numFmtId="164" formatCode="_(&quot;$&quot;* #,##0_);_(&quot;$&quot;* \(#,##0\);_(&quot;$&quot;* &quot;-&quot;??_);_(@_)"/>
    </dxf>
    <dxf>
      <numFmt numFmtId="0" formatCode="General"/>
    </dxf>
    <dxf>
      <numFmt numFmtId="0" formatCode="General"/>
    </dxf>
    <dxf>
      <numFmt numFmtId="0" formatCode="General"/>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s>
  <tableStyles count="1" defaultTableStyle="TableStyleMedium2" defaultPivotStyle="PivotStyleLight16">
    <tableStyle name="Invisible" pivot="0" table="0" count="0" xr9:uid="{D27A51C8-27B5-4DD7-8873-DD3E81672A81}"/>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6.xml"/><Relationship Id="rId21" Type="http://schemas.openxmlformats.org/officeDocument/2006/relationships/pivotCacheDefinition" Target="pivotCache/pivotCacheDefinition11.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9" Type="http://schemas.microsoft.com/office/2007/relationships/slicerCache" Target="slicerCaches/slicerCache3.xml"/><Relationship Id="rId11" Type="http://schemas.openxmlformats.org/officeDocument/2006/relationships/pivotCacheDefinition" Target="pivotCache/pivotCacheDefinition1.xml"/><Relationship Id="rId24" Type="http://schemas.openxmlformats.org/officeDocument/2006/relationships/pivotCacheDefinition" Target="pivotCache/pivotCacheDefinition14.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74" Type="http://schemas.openxmlformats.org/officeDocument/2006/relationships/customXml" Target="../customXml/item39.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9.xml"/><Relationship Id="rId14" Type="http://schemas.openxmlformats.org/officeDocument/2006/relationships/pivotCacheDefinition" Target="pivotCache/pivotCacheDefinition4.xml"/><Relationship Id="rId22" Type="http://schemas.openxmlformats.org/officeDocument/2006/relationships/pivotCacheDefinition" Target="pivotCache/pivotCacheDefinition12.xml"/><Relationship Id="rId27" Type="http://schemas.microsoft.com/office/2007/relationships/slicerCache" Target="slicerCaches/slicerCache1.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worksheet" Target="worksheets/sheet8.xml"/><Relationship Id="rId51" Type="http://schemas.openxmlformats.org/officeDocument/2006/relationships/customXml" Target="../customXml/item16.xml"/><Relationship Id="rId72"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ivotCacheDefinition" Target="pivotCache/pivotCacheDefinition15.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0.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75" Type="http://schemas.openxmlformats.org/officeDocument/2006/relationships/customXml" Target="../customXml/item4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5.xml"/><Relationship Id="rId23" Type="http://schemas.openxmlformats.org/officeDocument/2006/relationships/pivotCacheDefinition" Target="pivotCache/pivotCacheDefinition13.xml"/><Relationship Id="rId28" Type="http://schemas.microsoft.com/office/2007/relationships/slicerCache" Target="slicerCaches/slicerCache2.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worksheet" Target="worksheets/sheet10.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73" Type="http://schemas.openxmlformats.org/officeDocument/2006/relationships/customXml" Target="../customXml/item3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71" Type="http://schemas.openxmlformats.org/officeDocument/2006/relationships/customXml" Target="../customXml/item3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Tabeles!PivotTable1</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Sales By Top City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Tabeles'!$C$4</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Tabeles'!$B$5:$B$15</c:f>
              <c:strCache>
                <c:ptCount val="10"/>
                <c:pt idx="0">
                  <c:v>London</c:v>
                </c:pt>
                <c:pt idx="1">
                  <c:v>Woolston</c:v>
                </c:pt>
                <c:pt idx="2">
                  <c:v>Union City</c:v>
                </c:pt>
                <c:pt idx="3">
                  <c:v>Liverpool</c:v>
                </c:pt>
                <c:pt idx="4">
                  <c:v>Fullerton</c:v>
                </c:pt>
                <c:pt idx="5">
                  <c:v>Gloucestershire</c:v>
                </c:pt>
                <c:pt idx="6">
                  <c:v>Sherman Oaks</c:v>
                </c:pt>
                <c:pt idx="7">
                  <c:v>Cerritos</c:v>
                </c:pt>
                <c:pt idx="8">
                  <c:v>Van Nuys</c:v>
                </c:pt>
                <c:pt idx="9">
                  <c:v>Milton Keynes</c:v>
                </c:pt>
              </c:strCache>
            </c:strRef>
          </c:cat>
          <c:val>
            <c:numRef>
              <c:f>'Pivot Tabeles'!$C$5:$C$15</c:f>
              <c:numCache>
                <c:formatCode>General</c:formatCode>
                <c:ptCount val="10"/>
                <c:pt idx="0">
                  <c:v>153749.84400000001</c:v>
                </c:pt>
                <c:pt idx="1">
                  <c:v>89869.276400000002</c:v>
                </c:pt>
                <c:pt idx="2">
                  <c:v>65683.368100000007</c:v>
                </c:pt>
                <c:pt idx="3">
                  <c:v>65123.463499999998</c:v>
                </c:pt>
                <c:pt idx="4">
                  <c:v>59894.209199999998</c:v>
                </c:pt>
                <c:pt idx="5">
                  <c:v>53248.692000000003</c:v>
                </c:pt>
                <c:pt idx="6">
                  <c:v>47848.025999999998</c:v>
                </c:pt>
                <c:pt idx="7">
                  <c:v>34118.535600000003</c:v>
                </c:pt>
                <c:pt idx="8">
                  <c:v>33319.985999999997</c:v>
                </c:pt>
                <c:pt idx="9">
                  <c:v>30663.624100000001</c:v>
                </c:pt>
              </c:numCache>
            </c:numRef>
          </c:val>
          <c:extLst>
            <c:ext xmlns:c16="http://schemas.microsoft.com/office/drawing/2014/chart" uri="{C3380CC4-5D6E-409C-BE32-E72D297353CC}">
              <c16:uniqueId val="{00000000-F8E6-4026-85D1-4ADE51EDD6DE}"/>
            </c:ext>
          </c:extLst>
        </c:ser>
        <c:dLbls>
          <c:showLegendKey val="0"/>
          <c:showVal val="0"/>
          <c:showCatName val="0"/>
          <c:showSerName val="0"/>
          <c:showPercent val="0"/>
          <c:showBubbleSize val="0"/>
        </c:dLbls>
        <c:gapWidth val="315"/>
        <c:overlap val="-40"/>
        <c:axId val="576970848"/>
        <c:axId val="576970368"/>
      </c:barChart>
      <c:catAx>
        <c:axId val="5769708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6970368"/>
        <c:crosses val="autoZero"/>
        <c:auto val="1"/>
        <c:lblAlgn val="ctr"/>
        <c:lblOffset val="100"/>
        <c:noMultiLvlLbl val="0"/>
      </c:catAx>
      <c:valAx>
        <c:axId val="5769703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697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Tabeles!PivotTable2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Tabeles'!$F$4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D18-4476-BCC2-8BB000B4DDC9}"/>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18-4476-BCC2-8BB000B4DDC9}"/>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D18-4476-BCC2-8BB000B4DDC9}"/>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D18-4476-BCC2-8BB000B4DDC9}"/>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D18-4476-BCC2-8BB000B4DDC9}"/>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AD18-4476-BCC2-8BB000B4DDC9}"/>
              </c:ext>
            </c:extLst>
          </c:dPt>
          <c:cat>
            <c:strRef>
              <c:f>'Pivot Tabeles'!$E$5:$E$11</c:f>
              <c:strCache>
                <c:ptCount val="6"/>
                <c:pt idx="0">
                  <c:v>California</c:v>
                </c:pt>
                <c:pt idx="1">
                  <c:v>Colorado</c:v>
                </c:pt>
                <c:pt idx="2">
                  <c:v>England</c:v>
                </c:pt>
                <c:pt idx="3">
                  <c:v>Nevada</c:v>
                </c:pt>
                <c:pt idx="4">
                  <c:v>New Mexico</c:v>
                </c:pt>
                <c:pt idx="5">
                  <c:v>Utah</c:v>
                </c:pt>
              </c:strCache>
            </c:strRef>
          </c:cat>
          <c:val>
            <c:numRef>
              <c:f>'Pivot Tabeles'!$F$5:$F$11</c:f>
              <c:numCache>
                <c:formatCode>General</c:formatCode>
                <c:ptCount val="6"/>
                <c:pt idx="0">
                  <c:v>254562.97760000001</c:v>
                </c:pt>
                <c:pt idx="1">
                  <c:v>10585.05</c:v>
                </c:pt>
                <c:pt idx="2">
                  <c:v>425979.10879999999</c:v>
                </c:pt>
                <c:pt idx="3">
                  <c:v>5533.8689000000004</c:v>
                </c:pt>
                <c:pt idx="4">
                  <c:v>11528.843999999999</c:v>
                </c:pt>
                <c:pt idx="5">
                  <c:v>500.30399999999997</c:v>
                </c:pt>
              </c:numCache>
            </c:numRef>
          </c:val>
          <c:extLst>
            <c:ext xmlns:c16="http://schemas.microsoft.com/office/drawing/2014/chart" uri="{C3380CC4-5D6E-409C-BE32-E72D297353CC}">
              <c16:uniqueId val="{00000000-5462-47D7-98C5-0B44792D7C1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[dash.xlsx]Pivot Tabeles!PivotTable3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Tabeles'!$I$4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Tabeles'!$H$5:$H$15</c:f>
              <c:strCache>
                <c:ptCount val="10"/>
                <c:pt idx="0">
                  <c:v>Kevin Liu</c:v>
                </c:pt>
                <c:pt idx="1">
                  <c:v>Jon Grande</c:v>
                </c:pt>
                <c:pt idx="2">
                  <c:v>Terry Eminhizer</c:v>
                </c:pt>
                <c:pt idx="3">
                  <c:v>Krishna Sunkammurali</c:v>
                </c:pt>
                <c:pt idx="4">
                  <c:v>Jeffrey Kurtz</c:v>
                </c:pt>
                <c:pt idx="5">
                  <c:v>Christopher Beck</c:v>
                </c:pt>
                <c:pt idx="6">
                  <c:v>Catherine Abel</c:v>
                </c:pt>
                <c:pt idx="7">
                  <c:v>Rebecca Laszlo</c:v>
                </c:pt>
                <c:pt idx="8">
                  <c:v>Frank Campbell</c:v>
                </c:pt>
                <c:pt idx="9">
                  <c:v>Pamala Kotc</c:v>
                </c:pt>
              </c:strCache>
            </c:strRef>
          </c:cat>
          <c:val>
            <c:numRef>
              <c:f>'Pivot Tabeles'!$I$5:$I$15</c:f>
              <c:numCache>
                <c:formatCode>General</c:formatCode>
                <c:ptCount val="10"/>
                <c:pt idx="0">
                  <c:v>286</c:v>
                </c:pt>
                <c:pt idx="1">
                  <c:v>271</c:v>
                </c:pt>
                <c:pt idx="2">
                  <c:v>267</c:v>
                </c:pt>
                <c:pt idx="3">
                  <c:v>197</c:v>
                </c:pt>
                <c:pt idx="4">
                  <c:v>173</c:v>
                </c:pt>
                <c:pt idx="5">
                  <c:v>167</c:v>
                </c:pt>
                <c:pt idx="6">
                  <c:v>140</c:v>
                </c:pt>
                <c:pt idx="7">
                  <c:v>81</c:v>
                </c:pt>
                <c:pt idx="8">
                  <c:v>77</c:v>
                </c:pt>
                <c:pt idx="9">
                  <c:v>76</c:v>
                </c:pt>
              </c:numCache>
            </c:numRef>
          </c:val>
          <c:extLst>
            <c:ext xmlns:c16="http://schemas.microsoft.com/office/drawing/2014/chart" uri="{C3380CC4-5D6E-409C-BE32-E72D297353CC}">
              <c16:uniqueId val="{00000001-D432-4A60-978C-58EE4C76EADB}"/>
            </c:ext>
          </c:extLst>
        </c:ser>
        <c:dLbls>
          <c:showLegendKey val="0"/>
          <c:showVal val="0"/>
          <c:showCatName val="0"/>
          <c:showSerName val="0"/>
          <c:showPercent val="0"/>
          <c:showBubbleSize val="0"/>
        </c:dLbls>
        <c:gapWidth val="150"/>
        <c:shape val="box"/>
        <c:axId val="1053174272"/>
        <c:axId val="1053172352"/>
        <c:axId val="0"/>
      </c:bar3DChart>
      <c:catAx>
        <c:axId val="105317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172352"/>
        <c:crosses val="autoZero"/>
        <c:auto val="1"/>
        <c:lblAlgn val="ctr"/>
        <c:lblOffset val="100"/>
        <c:noMultiLvlLbl val="0"/>
      </c:catAx>
      <c:valAx>
        <c:axId val="10531723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17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Tabeles!PivotTable4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Tabeles'!$L$4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D37-4746-A951-F2776B6EFEDB}"/>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D37-4746-A951-F2776B6EFE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Tabeles'!$K$5:$K$7</c:f>
              <c:strCache>
                <c:ptCount val="2"/>
                <c:pt idx="0">
                  <c:v>United Kingdom</c:v>
                </c:pt>
                <c:pt idx="1">
                  <c:v>United States</c:v>
                </c:pt>
              </c:strCache>
            </c:strRef>
          </c:cat>
          <c:val>
            <c:numRef>
              <c:f>'Pivot Tabeles'!$L$5:$L$7</c:f>
              <c:numCache>
                <c:formatCode>General</c:formatCode>
                <c:ptCount val="2"/>
                <c:pt idx="0">
                  <c:v>425979.10879999999</c:v>
                </c:pt>
                <c:pt idx="1">
                  <c:v>282711.04450000002</c:v>
                </c:pt>
              </c:numCache>
            </c:numRef>
          </c:val>
          <c:extLst>
            <c:ext xmlns:c16="http://schemas.microsoft.com/office/drawing/2014/chart" uri="{C3380CC4-5D6E-409C-BE32-E72D297353CC}">
              <c16:uniqueId val="{00000000-FA2B-4F1B-B6E9-6467929A8E9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[dash.xlsx]Pivot Tabeles!PivotTable12</c:name>
    <c:fmtId val="0"/>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Top</a:t>
            </a:r>
            <a:r>
              <a:rPr lang="en-US" baseline="0"/>
              <a:t> 10 Product Name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Tabeles'!$U$4</c:f>
              <c:strCache>
                <c:ptCount val="1"/>
                <c:pt idx="0">
                  <c:v>Total</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errBars>
            <c:errDir val="y"/>
            <c:errBarType val="both"/>
            <c:errValType val="stdErr"/>
            <c:noEndCap val="0"/>
            <c:spPr>
              <a:noFill/>
              <a:ln w="9525" cap="flat" cmpd="sng" algn="ctr">
                <a:solidFill>
                  <a:schemeClr val="lt1">
                    <a:alpha val="40000"/>
                  </a:schemeClr>
                </a:solidFill>
                <a:round/>
              </a:ln>
              <a:effectLst/>
            </c:spPr>
          </c:errBars>
          <c:cat>
            <c:strRef>
              <c:f>'Pivot Tabeles'!$T$5:$T$15</c:f>
              <c:strCache>
                <c:ptCount val="10"/>
                <c:pt idx="0">
                  <c:v>Touring-1000 Blue, 60</c:v>
                </c:pt>
                <c:pt idx="1">
                  <c:v>Mountain-200 Black, 42</c:v>
                </c:pt>
                <c:pt idx="2">
                  <c:v>Road-350-W Yellow, 48</c:v>
                </c:pt>
                <c:pt idx="3">
                  <c:v>Mountain-200 Black, 38</c:v>
                </c:pt>
                <c:pt idx="4">
                  <c:v>Touring-1000 Yellow, 60</c:v>
                </c:pt>
                <c:pt idx="5">
                  <c:v>Touring-1000 Blue, 50</c:v>
                </c:pt>
                <c:pt idx="6">
                  <c:v>Mountain-200 Silver, 42</c:v>
                </c:pt>
                <c:pt idx="7">
                  <c:v>Road-350-W Yellow, 40</c:v>
                </c:pt>
                <c:pt idx="8">
                  <c:v>Mountain-200 Black, 46</c:v>
                </c:pt>
                <c:pt idx="9">
                  <c:v>Road-350-W Yellow, 42</c:v>
                </c:pt>
              </c:strCache>
            </c:strRef>
          </c:cat>
          <c:val>
            <c:numRef>
              <c:f>'Pivot Tabeles'!$U$5:$U$15</c:f>
              <c:numCache>
                <c:formatCode>General</c:formatCode>
                <c:ptCount val="10"/>
                <c:pt idx="0">
                  <c:v>37191.491999999998</c:v>
                </c:pt>
                <c:pt idx="1">
                  <c:v>37178.838000000003</c:v>
                </c:pt>
                <c:pt idx="2">
                  <c:v>36486.235500000003</c:v>
                </c:pt>
                <c:pt idx="3">
                  <c:v>35801.843999999997</c:v>
                </c:pt>
                <c:pt idx="4">
                  <c:v>23413.474699999999</c:v>
                </c:pt>
                <c:pt idx="5">
                  <c:v>22887.072</c:v>
                </c:pt>
                <c:pt idx="6">
                  <c:v>20879.91</c:v>
                </c:pt>
                <c:pt idx="7">
                  <c:v>20411.88</c:v>
                </c:pt>
                <c:pt idx="8">
                  <c:v>19277.916000000001</c:v>
                </c:pt>
                <c:pt idx="9">
                  <c:v>18692.5193</c:v>
                </c:pt>
              </c:numCache>
            </c:numRef>
          </c:val>
          <c:extLst>
            <c:ext xmlns:c16="http://schemas.microsoft.com/office/drawing/2014/chart" uri="{C3380CC4-5D6E-409C-BE32-E72D297353CC}">
              <c16:uniqueId val="{00000000-223C-461A-B1DA-5ECBB3E9EAB1}"/>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98959280"/>
        <c:axId val="598957840"/>
      </c:areaChart>
      <c:catAx>
        <c:axId val="59895928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98957840"/>
        <c:crosses val="autoZero"/>
        <c:auto val="1"/>
        <c:lblAlgn val="ctr"/>
        <c:lblOffset val="100"/>
        <c:noMultiLvlLbl val="0"/>
      </c:catAx>
      <c:valAx>
        <c:axId val="5989578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89592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Tabeles!PivotTable13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Tabeles'!$X$4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Tabeles'!$W$5:$W$15</c:f>
              <c:strCache>
                <c:ptCount val="10"/>
                <c:pt idx="0">
                  <c:v>Mountain-200 Black, 38</c:v>
                </c:pt>
                <c:pt idx="1">
                  <c:v>Mountain-200 Black, 42</c:v>
                </c:pt>
                <c:pt idx="2">
                  <c:v>Mountain-200 Black, 46</c:v>
                </c:pt>
                <c:pt idx="3">
                  <c:v>Mountain-200 Silver, 42</c:v>
                </c:pt>
                <c:pt idx="4">
                  <c:v>Road-350-W Yellow, 40</c:v>
                </c:pt>
                <c:pt idx="5">
                  <c:v>Road-350-W Yellow, 42</c:v>
                </c:pt>
                <c:pt idx="6">
                  <c:v>Road-350-W Yellow, 48</c:v>
                </c:pt>
                <c:pt idx="7">
                  <c:v>Touring-1000 Blue, 50</c:v>
                </c:pt>
                <c:pt idx="8">
                  <c:v>Touring-1000 Blue, 60</c:v>
                </c:pt>
                <c:pt idx="9">
                  <c:v>Touring-1000 Yellow, 60</c:v>
                </c:pt>
              </c:strCache>
            </c:strRef>
          </c:cat>
          <c:val>
            <c:numRef>
              <c:f>'Pivot Tabeles'!$X$5:$X$15</c:f>
              <c:numCache>
                <c:formatCode>General</c:formatCode>
                <c:ptCount val="10"/>
                <c:pt idx="0">
                  <c:v>26</c:v>
                </c:pt>
                <c:pt idx="1">
                  <c:v>27</c:v>
                </c:pt>
                <c:pt idx="2">
                  <c:v>14</c:v>
                </c:pt>
                <c:pt idx="3">
                  <c:v>15</c:v>
                </c:pt>
                <c:pt idx="4">
                  <c:v>20</c:v>
                </c:pt>
                <c:pt idx="5">
                  <c:v>19</c:v>
                </c:pt>
                <c:pt idx="6">
                  <c:v>42</c:v>
                </c:pt>
                <c:pt idx="7">
                  <c:v>16</c:v>
                </c:pt>
                <c:pt idx="8">
                  <c:v>26</c:v>
                </c:pt>
                <c:pt idx="9">
                  <c:v>17</c:v>
                </c:pt>
              </c:numCache>
            </c:numRef>
          </c:val>
          <c:smooth val="0"/>
          <c:extLst>
            <c:ext xmlns:c16="http://schemas.microsoft.com/office/drawing/2014/chart" uri="{C3380CC4-5D6E-409C-BE32-E72D297353CC}">
              <c16:uniqueId val="{00000000-73DB-4F5D-9D5B-8C9E5A4C6201}"/>
            </c:ext>
          </c:extLst>
        </c:ser>
        <c:dLbls>
          <c:showLegendKey val="0"/>
          <c:showVal val="0"/>
          <c:showCatName val="0"/>
          <c:showSerName val="0"/>
          <c:showPercent val="0"/>
          <c:showBubbleSize val="0"/>
        </c:dLbls>
        <c:marker val="1"/>
        <c:smooth val="0"/>
        <c:axId val="1372655824"/>
        <c:axId val="1372653424"/>
      </c:lineChart>
      <c:catAx>
        <c:axId val="13726558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653424"/>
        <c:crosses val="autoZero"/>
        <c:auto val="1"/>
        <c:lblAlgn val="ctr"/>
        <c:lblOffset val="100"/>
        <c:noMultiLvlLbl val="0"/>
      </c:catAx>
      <c:valAx>
        <c:axId val="13726534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65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Tabeles!PivotTable14</c:name>
    <c:fmtId val="0"/>
  </c:pivotSource>
  <c:chart>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Tabeles'!$AA$4</c:f>
              <c:strCache>
                <c:ptCount val="1"/>
                <c:pt idx="0">
                  <c:v>Total Sales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Tabeles'!$Z$5:$Z$8</c:f>
              <c:strCache>
                <c:ptCount val="3"/>
                <c:pt idx="0">
                  <c:v>High</c:v>
                </c:pt>
                <c:pt idx="1">
                  <c:v>Low</c:v>
                </c:pt>
                <c:pt idx="2">
                  <c:v>Medium</c:v>
                </c:pt>
              </c:strCache>
            </c:strRef>
          </c:cat>
          <c:val>
            <c:numRef>
              <c:f>'Pivot Tabeles'!$AA$5:$AA$8</c:f>
              <c:numCache>
                <c:formatCode>General</c:formatCode>
                <c:ptCount val="3"/>
                <c:pt idx="0">
                  <c:v>553422.45550000004</c:v>
                </c:pt>
                <c:pt idx="1">
                  <c:v>55329.1227</c:v>
                </c:pt>
                <c:pt idx="2">
                  <c:v>99938.575100000002</c:v>
                </c:pt>
              </c:numCache>
            </c:numRef>
          </c:val>
          <c:extLst>
            <c:ext xmlns:c16="http://schemas.microsoft.com/office/drawing/2014/chart" uri="{C3380CC4-5D6E-409C-BE32-E72D297353CC}">
              <c16:uniqueId val="{00000000-9074-4218-A651-553816894569}"/>
            </c:ext>
          </c:extLst>
        </c:ser>
        <c:ser>
          <c:idx val="1"/>
          <c:order val="1"/>
          <c:tx>
            <c:strRef>
              <c:f>'Pivot Tabeles'!$AB$4</c:f>
              <c:strCache>
                <c:ptCount val="1"/>
                <c:pt idx="0">
                  <c:v>Total_ Quantaity</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Tabeles'!$Z$5:$Z$8</c:f>
              <c:strCache>
                <c:ptCount val="3"/>
                <c:pt idx="0">
                  <c:v>High</c:v>
                </c:pt>
                <c:pt idx="1">
                  <c:v>Low</c:v>
                </c:pt>
                <c:pt idx="2">
                  <c:v>Medium</c:v>
                </c:pt>
              </c:strCache>
            </c:strRef>
          </c:cat>
          <c:val>
            <c:numRef>
              <c:f>'Pivot Tabeles'!$AB$5:$AB$8</c:f>
              <c:numCache>
                <c:formatCode>General</c:formatCode>
                <c:ptCount val="3"/>
                <c:pt idx="0">
                  <c:v>508</c:v>
                </c:pt>
                <c:pt idx="1">
                  <c:v>1285</c:v>
                </c:pt>
                <c:pt idx="2">
                  <c:v>294</c:v>
                </c:pt>
              </c:numCache>
            </c:numRef>
          </c:val>
          <c:extLst>
            <c:ext xmlns:c16="http://schemas.microsoft.com/office/drawing/2014/chart" uri="{C3380CC4-5D6E-409C-BE32-E72D297353CC}">
              <c16:uniqueId val="{00000001-9074-4218-A651-553816894569}"/>
            </c:ext>
          </c:extLst>
        </c:ser>
        <c:dLbls>
          <c:showLegendKey val="0"/>
          <c:showVal val="0"/>
          <c:showCatName val="0"/>
          <c:showSerName val="0"/>
          <c:showPercent val="0"/>
          <c:showBubbleSize val="0"/>
        </c:dLbls>
        <c:gapWidth val="315"/>
        <c:overlap val="-40"/>
        <c:axId val="179036384"/>
        <c:axId val="179035424"/>
      </c:barChart>
      <c:catAx>
        <c:axId val="1790363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035424"/>
        <c:crosses val="autoZero"/>
        <c:auto val="1"/>
        <c:lblAlgn val="ctr"/>
        <c:lblOffset val="100"/>
        <c:noMultiLvlLbl val="0"/>
      </c:catAx>
      <c:valAx>
        <c:axId val="1790354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03638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Tabeles!PivotTable15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Color</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Tabeles'!$AE$4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17FE-420C-8EFE-FB3CDD3C987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17FE-420C-8EFE-FB3CDD3C987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17FE-420C-8EFE-FB3CDD3C987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17FE-420C-8EFE-FB3CDD3C987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17FE-420C-8EFE-FB3CDD3C9876}"/>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17FE-420C-8EFE-FB3CDD3C9876}"/>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17FE-420C-8EFE-FB3CDD3C9876}"/>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17FE-420C-8EFE-FB3CDD3C9876}"/>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17FE-420C-8EFE-FB3CDD3C987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Tabeles'!$AD$5:$AD$14</c:f>
              <c:strCache>
                <c:ptCount val="9"/>
                <c:pt idx="0">
                  <c:v>Black</c:v>
                </c:pt>
                <c:pt idx="1">
                  <c:v>Blue</c:v>
                </c:pt>
                <c:pt idx="2">
                  <c:v>Multi</c:v>
                </c:pt>
                <c:pt idx="3">
                  <c:v>Not Specified</c:v>
                </c:pt>
                <c:pt idx="4">
                  <c:v>Silver</c:v>
                </c:pt>
                <c:pt idx="5">
                  <c:v>Silver/Black</c:v>
                </c:pt>
                <c:pt idx="6">
                  <c:v>White</c:v>
                </c:pt>
                <c:pt idx="7">
                  <c:v>Yellow</c:v>
                </c:pt>
                <c:pt idx="8">
                  <c:v>Others</c:v>
                </c:pt>
              </c:strCache>
            </c:strRef>
          </c:cat>
          <c:val>
            <c:numRef>
              <c:f>'Pivot Tabeles'!$AE$5:$AE$14</c:f>
              <c:numCache>
                <c:formatCode>0%</c:formatCode>
                <c:ptCount val="9"/>
                <c:pt idx="0">
                  <c:v>0.29248750901193027</c:v>
                </c:pt>
                <c:pt idx="1">
                  <c:v>0.21901075565571854</c:v>
                </c:pt>
                <c:pt idx="2">
                  <c:v>4.1498464262633072E-3</c:v>
                </c:pt>
                <c:pt idx="3">
                  <c:v>8.8402567339579269E-3</c:v>
                </c:pt>
                <c:pt idx="4">
                  <c:v>0.15498301689187585</c:v>
                </c:pt>
                <c:pt idx="5">
                  <c:v>4.2282173472382575E-3</c:v>
                </c:pt>
                <c:pt idx="6">
                  <c:v>4.8710822126220163E-4</c:v>
                </c:pt>
                <c:pt idx="7">
                  <c:v>0.30129887893279411</c:v>
                </c:pt>
                <c:pt idx="8">
                  <c:v>1.4514410778959527E-2</c:v>
                </c:pt>
              </c:numCache>
            </c:numRef>
          </c:val>
          <c:extLst>
            <c:ext xmlns:c16="http://schemas.microsoft.com/office/drawing/2014/chart" uri="{C3380CC4-5D6E-409C-BE32-E72D297353CC}">
              <c16:uniqueId val="{00000000-5C04-48E8-A96A-207DEB6044CA}"/>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Tabeles!PivotTable1</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a:t>
            </a:r>
            <a:r>
              <a:rPr lang="en-US" baseline="0"/>
              <a:t> Sales By Top 10 City</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Tabeles'!$C$4</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Tabeles'!$B$5:$B$15</c:f>
              <c:strCache>
                <c:ptCount val="10"/>
                <c:pt idx="0">
                  <c:v>London</c:v>
                </c:pt>
                <c:pt idx="1">
                  <c:v>Woolston</c:v>
                </c:pt>
                <c:pt idx="2">
                  <c:v>Union City</c:v>
                </c:pt>
                <c:pt idx="3">
                  <c:v>Liverpool</c:v>
                </c:pt>
                <c:pt idx="4">
                  <c:v>Fullerton</c:v>
                </c:pt>
                <c:pt idx="5">
                  <c:v>Gloucestershire</c:v>
                </c:pt>
                <c:pt idx="6">
                  <c:v>Sherman Oaks</c:v>
                </c:pt>
                <c:pt idx="7">
                  <c:v>Cerritos</c:v>
                </c:pt>
                <c:pt idx="8">
                  <c:v>Van Nuys</c:v>
                </c:pt>
                <c:pt idx="9">
                  <c:v>Milton Keynes</c:v>
                </c:pt>
              </c:strCache>
            </c:strRef>
          </c:cat>
          <c:val>
            <c:numRef>
              <c:f>'Pivot Tabeles'!$C$5:$C$15</c:f>
              <c:numCache>
                <c:formatCode>General</c:formatCode>
                <c:ptCount val="10"/>
                <c:pt idx="0">
                  <c:v>153749.84400000001</c:v>
                </c:pt>
                <c:pt idx="1">
                  <c:v>89869.276400000002</c:v>
                </c:pt>
                <c:pt idx="2">
                  <c:v>65683.368100000007</c:v>
                </c:pt>
                <c:pt idx="3">
                  <c:v>65123.463499999998</c:v>
                </c:pt>
                <c:pt idx="4">
                  <c:v>59894.209199999998</c:v>
                </c:pt>
                <c:pt idx="5">
                  <c:v>53248.692000000003</c:v>
                </c:pt>
                <c:pt idx="6">
                  <c:v>47848.025999999998</c:v>
                </c:pt>
                <c:pt idx="7">
                  <c:v>34118.535600000003</c:v>
                </c:pt>
                <c:pt idx="8">
                  <c:v>33319.985999999997</c:v>
                </c:pt>
                <c:pt idx="9">
                  <c:v>30663.624100000001</c:v>
                </c:pt>
              </c:numCache>
            </c:numRef>
          </c:val>
          <c:extLst>
            <c:ext xmlns:c16="http://schemas.microsoft.com/office/drawing/2014/chart" uri="{C3380CC4-5D6E-409C-BE32-E72D297353CC}">
              <c16:uniqueId val="{00000000-E5FD-4971-8F84-644BF52261AD}"/>
            </c:ext>
          </c:extLst>
        </c:ser>
        <c:dLbls>
          <c:showLegendKey val="0"/>
          <c:showVal val="0"/>
          <c:showCatName val="0"/>
          <c:showSerName val="0"/>
          <c:showPercent val="0"/>
          <c:showBubbleSize val="0"/>
        </c:dLbls>
        <c:gapWidth val="315"/>
        <c:overlap val="-40"/>
        <c:axId val="576970848"/>
        <c:axId val="576970368"/>
      </c:barChart>
      <c:catAx>
        <c:axId val="57697084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6970368"/>
        <c:crosses val="autoZero"/>
        <c:auto val="1"/>
        <c:lblAlgn val="ctr"/>
        <c:lblOffset val="100"/>
        <c:noMultiLvlLbl val="0"/>
      </c:catAx>
      <c:valAx>
        <c:axId val="5769703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76970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Tabeles!PivotTable2</c:name>
    <c:fmtId val="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Tabeles'!$F$4</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028-4816-8D3F-DCEE67F80E55}"/>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028-4816-8D3F-DCEE67F80E55}"/>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028-4816-8D3F-DCEE67F80E55}"/>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028-4816-8D3F-DCEE67F80E55}"/>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028-4816-8D3F-DCEE67F80E55}"/>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B028-4816-8D3F-DCEE67F80E55}"/>
              </c:ext>
            </c:extLst>
          </c:dPt>
          <c:cat>
            <c:strRef>
              <c:f>'Pivot Tabeles'!$E$5:$E$11</c:f>
              <c:strCache>
                <c:ptCount val="6"/>
                <c:pt idx="0">
                  <c:v>California</c:v>
                </c:pt>
                <c:pt idx="1">
                  <c:v>Colorado</c:v>
                </c:pt>
                <c:pt idx="2">
                  <c:v>England</c:v>
                </c:pt>
                <c:pt idx="3">
                  <c:v>Nevada</c:v>
                </c:pt>
                <c:pt idx="4">
                  <c:v>New Mexico</c:v>
                </c:pt>
                <c:pt idx="5">
                  <c:v>Utah</c:v>
                </c:pt>
              </c:strCache>
            </c:strRef>
          </c:cat>
          <c:val>
            <c:numRef>
              <c:f>'Pivot Tabeles'!$F$5:$F$11</c:f>
              <c:numCache>
                <c:formatCode>General</c:formatCode>
                <c:ptCount val="6"/>
                <c:pt idx="0">
                  <c:v>254562.97760000001</c:v>
                </c:pt>
                <c:pt idx="1">
                  <c:v>10585.05</c:v>
                </c:pt>
                <c:pt idx="2">
                  <c:v>425979.10879999999</c:v>
                </c:pt>
                <c:pt idx="3">
                  <c:v>5533.8689000000004</c:v>
                </c:pt>
                <c:pt idx="4">
                  <c:v>11528.843999999999</c:v>
                </c:pt>
                <c:pt idx="5">
                  <c:v>500.30399999999997</c:v>
                </c:pt>
              </c:numCache>
            </c:numRef>
          </c:val>
          <c:extLst>
            <c:ext xmlns:c16="http://schemas.microsoft.com/office/drawing/2014/chart" uri="{C3380CC4-5D6E-409C-BE32-E72D297353CC}">
              <c16:uniqueId val="{0000000C-B028-4816-8D3F-DCEE67F80E5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[dash.xlsx]Pivot Tabeles!PivotTable3</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10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Tabeles'!$I$4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Tabeles'!$H$5:$H$15</c:f>
              <c:strCache>
                <c:ptCount val="10"/>
                <c:pt idx="0">
                  <c:v>Kevin Liu</c:v>
                </c:pt>
                <c:pt idx="1">
                  <c:v>Jon Grande</c:v>
                </c:pt>
                <c:pt idx="2">
                  <c:v>Terry Eminhizer</c:v>
                </c:pt>
                <c:pt idx="3">
                  <c:v>Krishna Sunkammurali</c:v>
                </c:pt>
                <c:pt idx="4">
                  <c:v>Jeffrey Kurtz</c:v>
                </c:pt>
                <c:pt idx="5">
                  <c:v>Christopher Beck</c:v>
                </c:pt>
                <c:pt idx="6">
                  <c:v>Catherine Abel</c:v>
                </c:pt>
                <c:pt idx="7">
                  <c:v>Rebecca Laszlo</c:v>
                </c:pt>
                <c:pt idx="8">
                  <c:v>Frank Campbell</c:v>
                </c:pt>
                <c:pt idx="9">
                  <c:v>Pamala Kotc</c:v>
                </c:pt>
              </c:strCache>
            </c:strRef>
          </c:cat>
          <c:val>
            <c:numRef>
              <c:f>'Pivot Tabeles'!$I$5:$I$15</c:f>
              <c:numCache>
                <c:formatCode>General</c:formatCode>
                <c:ptCount val="10"/>
                <c:pt idx="0">
                  <c:v>286</c:v>
                </c:pt>
                <c:pt idx="1">
                  <c:v>271</c:v>
                </c:pt>
                <c:pt idx="2">
                  <c:v>267</c:v>
                </c:pt>
                <c:pt idx="3">
                  <c:v>197</c:v>
                </c:pt>
                <c:pt idx="4">
                  <c:v>173</c:v>
                </c:pt>
                <c:pt idx="5">
                  <c:v>167</c:v>
                </c:pt>
                <c:pt idx="6">
                  <c:v>140</c:v>
                </c:pt>
                <c:pt idx="7">
                  <c:v>81</c:v>
                </c:pt>
                <c:pt idx="8">
                  <c:v>77</c:v>
                </c:pt>
                <c:pt idx="9">
                  <c:v>76</c:v>
                </c:pt>
              </c:numCache>
            </c:numRef>
          </c:val>
          <c:extLst>
            <c:ext xmlns:c16="http://schemas.microsoft.com/office/drawing/2014/chart" uri="{C3380CC4-5D6E-409C-BE32-E72D297353CC}">
              <c16:uniqueId val="{00000003-E4F9-4F68-BCA4-BF080D430982}"/>
            </c:ext>
          </c:extLst>
        </c:ser>
        <c:dLbls>
          <c:showLegendKey val="0"/>
          <c:showVal val="0"/>
          <c:showCatName val="0"/>
          <c:showSerName val="0"/>
          <c:showPercent val="0"/>
          <c:showBubbleSize val="0"/>
        </c:dLbls>
        <c:gapWidth val="150"/>
        <c:shape val="box"/>
        <c:axId val="1053174272"/>
        <c:axId val="1053172352"/>
        <c:axId val="0"/>
      </c:bar3DChart>
      <c:catAx>
        <c:axId val="105317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172352"/>
        <c:crosses val="autoZero"/>
        <c:auto val="1"/>
        <c:lblAlgn val="ctr"/>
        <c:lblOffset val="100"/>
        <c:noMultiLvlLbl val="0"/>
      </c:catAx>
      <c:valAx>
        <c:axId val="105317235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5317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Tabeles!PivotTable4</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p>
        </c:rich>
      </c:tx>
      <c:layout>
        <c:manualLayout>
          <c:xMode val="edge"/>
          <c:yMode val="edge"/>
          <c:x val="0.36885243547556773"/>
          <c:y val="0.16067714005084408"/>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Tabeles'!$L$4</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7E8-4858-9FBE-28AD098D7D3E}"/>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7E8-4858-9FBE-28AD098D7D3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Tabeles'!$K$5:$K$7</c:f>
              <c:strCache>
                <c:ptCount val="2"/>
                <c:pt idx="0">
                  <c:v>United Kingdom</c:v>
                </c:pt>
                <c:pt idx="1">
                  <c:v>United States</c:v>
                </c:pt>
              </c:strCache>
            </c:strRef>
          </c:cat>
          <c:val>
            <c:numRef>
              <c:f>'Pivot Tabeles'!$L$5:$L$7</c:f>
              <c:numCache>
                <c:formatCode>General</c:formatCode>
                <c:ptCount val="2"/>
                <c:pt idx="0">
                  <c:v>425979.10879999999</c:v>
                </c:pt>
                <c:pt idx="1">
                  <c:v>282711.04450000002</c:v>
                </c:pt>
              </c:numCache>
            </c:numRef>
          </c:val>
          <c:extLst>
            <c:ext xmlns:c16="http://schemas.microsoft.com/office/drawing/2014/chart" uri="{C3380CC4-5D6E-409C-BE32-E72D297353CC}">
              <c16:uniqueId val="{00000004-27E8-4858-9FBE-28AD098D7D3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Tabeles!PivotTable15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Color_Product</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Tabeles'!$AE$4</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BEDB-4CEB-8161-EE3901319C3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BEDB-4CEB-8161-EE3901319C3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BEDB-4CEB-8161-EE3901319C3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BEDB-4CEB-8161-EE3901319C3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BEDB-4CEB-8161-EE3901319C3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BEDB-4CEB-8161-EE3901319C3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D-BEDB-4CEB-8161-EE3901319C3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F-BEDB-4CEB-8161-EE3901319C3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11-BEDB-4CEB-8161-EE3901319C3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Tabeles'!$AD$5:$AD$14</c:f>
              <c:strCache>
                <c:ptCount val="9"/>
                <c:pt idx="0">
                  <c:v>Black</c:v>
                </c:pt>
                <c:pt idx="1">
                  <c:v>Blue</c:v>
                </c:pt>
                <c:pt idx="2">
                  <c:v>Multi</c:v>
                </c:pt>
                <c:pt idx="3">
                  <c:v>Not Specified</c:v>
                </c:pt>
                <c:pt idx="4">
                  <c:v>Silver</c:v>
                </c:pt>
                <c:pt idx="5">
                  <c:v>Silver/Black</c:v>
                </c:pt>
                <c:pt idx="6">
                  <c:v>White</c:v>
                </c:pt>
                <c:pt idx="7">
                  <c:v>Yellow</c:v>
                </c:pt>
                <c:pt idx="8">
                  <c:v>Others</c:v>
                </c:pt>
              </c:strCache>
            </c:strRef>
          </c:cat>
          <c:val>
            <c:numRef>
              <c:f>'Pivot Tabeles'!$AE$5:$AE$14</c:f>
              <c:numCache>
                <c:formatCode>0%</c:formatCode>
                <c:ptCount val="9"/>
                <c:pt idx="0">
                  <c:v>0.29248750901193027</c:v>
                </c:pt>
                <c:pt idx="1">
                  <c:v>0.21901075565571854</c:v>
                </c:pt>
                <c:pt idx="2">
                  <c:v>4.1498464262633072E-3</c:v>
                </c:pt>
                <c:pt idx="3">
                  <c:v>8.8402567339579269E-3</c:v>
                </c:pt>
                <c:pt idx="4">
                  <c:v>0.15498301689187585</c:v>
                </c:pt>
                <c:pt idx="5">
                  <c:v>4.2282173472382575E-3</c:v>
                </c:pt>
                <c:pt idx="6">
                  <c:v>4.8710822126220163E-4</c:v>
                </c:pt>
                <c:pt idx="7">
                  <c:v>0.30129887893279411</c:v>
                </c:pt>
                <c:pt idx="8">
                  <c:v>1.4514410778959527E-2</c:v>
                </c:pt>
              </c:numCache>
            </c:numRef>
          </c:val>
          <c:extLst>
            <c:ext xmlns:c16="http://schemas.microsoft.com/office/drawing/2014/chart" uri="{C3380CC4-5D6E-409C-BE32-E72D297353CC}">
              <c16:uniqueId val="{00000012-BEDB-4CEB-8161-EE3901319C33}"/>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Tabeles!PivotTable14</c:name>
    <c:fmtId val="9"/>
  </c:pivotSource>
  <c:chart>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Tabeles'!$AA$4</c:f>
              <c:strCache>
                <c:ptCount val="1"/>
                <c:pt idx="0">
                  <c:v>Total Sales</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Tabeles'!$Z$5:$Z$8</c:f>
              <c:strCache>
                <c:ptCount val="3"/>
                <c:pt idx="0">
                  <c:v>High</c:v>
                </c:pt>
                <c:pt idx="1">
                  <c:v>Low</c:v>
                </c:pt>
                <c:pt idx="2">
                  <c:v>Medium</c:v>
                </c:pt>
              </c:strCache>
            </c:strRef>
          </c:cat>
          <c:val>
            <c:numRef>
              <c:f>'Pivot Tabeles'!$AA$5:$AA$8</c:f>
              <c:numCache>
                <c:formatCode>General</c:formatCode>
                <c:ptCount val="3"/>
                <c:pt idx="0">
                  <c:v>553422.45550000004</c:v>
                </c:pt>
                <c:pt idx="1">
                  <c:v>55329.1227</c:v>
                </c:pt>
                <c:pt idx="2">
                  <c:v>99938.575100000002</c:v>
                </c:pt>
              </c:numCache>
            </c:numRef>
          </c:val>
          <c:extLst>
            <c:ext xmlns:c16="http://schemas.microsoft.com/office/drawing/2014/chart" uri="{C3380CC4-5D6E-409C-BE32-E72D297353CC}">
              <c16:uniqueId val="{00000000-D4EC-4F44-B4B2-7168A983157E}"/>
            </c:ext>
          </c:extLst>
        </c:ser>
        <c:ser>
          <c:idx val="1"/>
          <c:order val="1"/>
          <c:tx>
            <c:strRef>
              <c:f>'Pivot Tabeles'!$AB$4</c:f>
              <c:strCache>
                <c:ptCount val="1"/>
                <c:pt idx="0">
                  <c:v>Total_ Quantaity</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Tabeles'!$Z$5:$Z$8</c:f>
              <c:strCache>
                <c:ptCount val="3"/>
                <c:pt idx="0">
                  <c:v>High</c:v>
                </c:pt>
                <c:pt idx="1">
                  <c:v>Low</c:v>
                </c:pt>
                <c:pt idx="2">
                  <c:v>Medium</c:v>
                </c:pt>
              </c:strCache>
            </c:strRef>
          </c:cat>
          <c:val>
            <c:numRef>
              <c:f>'Pivot Tabeles'!$AB$5:$AB$8</c:f>
              <c:numCache>
                <c:formatCode>General</c:formatCode>
                <c:ptCount val="3"/>
                <c:pt idx="0">
                  <c:v>508</c:v>
                </c:pt>
                <c:pt idx="1">
                  <c:v>1285</c:v>
                </c:pt>
                <c:pt idx="2">
                  <c:v>294</c:v>
                </c:pt>
              </c:numCache>
            </c:numRef>
          </c:val>
          <c:extLst>
            <c:ext xmlns:c16="http://schemas.microsoft.com/office/drawing/2014/chart" uri="{C3380CC4-5D6E-409C-BE32-E72D297353CC}">
              <c16:uniqueId val="{00000001-D4EC-4F44-B4B2-7168A983157E}"/>
            </c:ext>
          </c:extLst>
        </c:ser>
        <c:dLbls>
          <c:showLegendKey val="0"/>
          <c:showVal val="0"/>
          <c:showCatName val="0"/>
          <c:showSerName val="0"/>
          <c:showPercent val="0"/>
          <c:showBubbleSize val="0"/>
        </c:dLbls>
        <c:gapWidth val="315"/>
        <c:overlap val="-40"/>
        <c:axId val="179036384"/>
        <c:axId val="179035424"/>
      </c:barChart>
      <c:catAx>
        <c:axId val="17903638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035424"/>
        <c:crosses val="autoZero"/>
        <c:auto val="1"/>
        <c:lblAlgn val="ctr"/>
        <c:lblOffset val="100"/>
        <c:noMultiLvlLbl val="0"/>
      </c:catAx>
      <c:valAx>
        <c:axId val="1790354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9036384"/>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[dash.xlsx]Pivot Tabeles!PivotTable13</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a:t>
            </a:r>
            <a:r>
              <a:rPr lang="en-US" baseline="0"/>
              <a:t> 10</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Tabeles'!$X$4</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Tabeles'!$W$5:$W$15</c:f>
              <c:strCache>
                <c:ptCount val="10"/>
                <c:pt idx="0">
                  <c:v>Mountain-200 Black, 38</c:v>
                </c:pt>
                <c:pt idx="1">
                  <c:v>Mountain-200 Black, 42</c:v>
                </c:pt>
                <c:pt idx="2">
                  <c:v>Mountain-200 Black, 46</c:v>
                </c:pt>
                <c:pt idx="3">
                  <c:v>Mountain-200 Silver, 42</c:v>
                </c:pt>
                <c:pt idx="4">
                  <c:v>Road-350-W Yellow, 40</c:v>
                </c:pt>
                <c:pt idx="5">
                  <c:v>Road-350-W Yellow, 42</c:v>
                </c:pt>
                <c:pt idx="6">
                  <c:v>Road-350-W Yellow, 48</c:v>
                </c:pt>
                <c:pt idx="7">
                  <c:v>Touring-1000 Blue, 50</c:v>
                </c:pt>
                <c:pt idx="8">
                  <c:v>Touring-1000 Blue, 60</c:v>
                </c:pt>
                <c:pt idx="9">
                  <c:v>Touring-1000 Yellow, 60</c:v>
                </c:pt>
              </c:strCache>
            </c:strRef>
          </c:cat>
          <c:val>
            <c:numRef>
              <c:f>'Pivot Tabeles'!$X$5:$X$15</c:f>
              <c:numCache>
                <c:formatCode>General</c:formatCode>
                <c:ptCount val="10"/>
                <c:pt idx="0">
                  <c:v>26</c:v>
                </c:pt>
                <c:pt idx="1">
                  <c:v>27</c:v>
                </c:pt>
                <c:pt idx="2">
                  <c:v>14</c:v>
                </c:pt>
                <c:pt idx="3">
                  <c:v>15</c:v>
                </c:pt>
                <c:pt idx="4">
                  <c:v>20</c:v>
                </c:pt>
                <c:pt idx="5">
                  <c:v>19</c:v>
                </c:pt>
                <c:pt idx="6">
                  <c:v>42</c:v>
                </c:pt>
                <c:pt idx="7">
                  <c:v>16</c:v>
                </c:pt>
                <c:pt idx="8">
                  <c:v>26</c:v>
                </c:pt>
                <c:pt idx="9">
                  <c:v>17</c:v>
                </c:pt>
              </c:numCache>
            </c:numRef>
          </c:val>
          <c:smooth val="0"/>
          <c:extLst>
            <c:ext xmlns:c16="http://schemas.microsoft.com/office/drawing/2014/chart" uri="{C3380CC4-5D6E-409C-BE32-E72D297353CC}">
              <c16:uniqueId val="{00000000-FE00-49CE-9402-C06C1B648062}"/>
            </c:ext>
          </c:extLst>
        </c:ser>
        <c:dLbls>
          <c:showLegendKey val="0"/>
          <c:showVal val="0"/>
          <c:showCatName val="0"/>
          <c:showSerName val="0"/>
          <c:showPercent val="0"/>
          <c:showBubbleSize val="0"/>
        </c:dLbls>
        <c:marker val="1"/>
        <c:smooth val="0"/>
        <c:axId val="1372655824"/>
        <c:axId val="1372653424"/>
      </c:lineChart>
      <c:catAx>
        <c:axId val="1372655824"/>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653424"/>
        <c:crosses val="autoZero"/>
        <c:auto val="1"/>
        <c:lblAlgn val="ctr"/>
        <c:lblOffset val="100"/>
        <c:noMultiLvlLbl val="0"/>
      </c:catAx>
      <c:valAx>
        <c:axId val="13726534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265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[dash.xlsx]Pivot Tabeles!PivotTable12</c:name>
    <c:fmtId val="8"/>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Top</a:t>
            </a:r>
            <a:r>
              <a:rPr lang="en-US" baseline="0"/>
              <a:t> 10 Product Name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Tabeles'!$U$4</c:f>
              <c:strCache>
                <c:ptCount val="1"/>
                <c:pt idx="0">
                  <c:v>Total</c:v>
                </c:pt>
              </c:strCache>
            </c:strRef>
          </c:tx>
          <c:spPr>
            <a:gradFill>
              <a:gsLst>
                <a:gs pos="100000">
                  <a:schemeClr val="accent3"/>
                </a:gs>
                <a:gs pos="0">
                  <a:schemeClr val="accent3">
                    <a:lumMod val="75000"/>
                  </a:schemeClr>
                </a:gs>
              </a:gsLst>
              <a:lin ang="0" scaled="1"/>
            </a:gradFill>
            <a:ln>
              <a:noFill/>
            </a:ln>
            <a:effectLst>
              <a:innerShdw dist="12700" dir="16200000">
                <a:schemeClr val="lt1">
                  <a:alpha val="75000"/>
                </a:schemeClr>
              </a:innerShdw>
            </a:effectLst>
          </c:spPr>
          <c:errBars>
            <c:errDir val="y"/>
            <c:errBarType val="both"/>
            <c:errValType val="stdErr"/>
            <c:noEndCap val="0"/>
            <c:spPr>
              <a:noFill/>
              <a:ln w="9525" cap="flat" cmpd="sng" algn="ctr">
                <a:solidFill>
                  <a:schemeClr val="lt1">
                    <a:alpha val="40000"/>
                  </a:schemeClr>
                </a:solidFill>
                <a:round/>
              </a:ln>
              <a:effectLst/>
            </c:spPr>
          </c:errBars>
          <c:cat>
            <c:strRef>
              <c:f>'Pivot Tabeles'!$T$5:$T$15</c:f>
              <c:strCache>
                <c:ptCount val="10"/>
                <c:pt idx="0">
                  <c:v>Touring-1000 Blue, 60</c:v>
                </c:pt>
                <c:pt idx="1">
                  <c:v>Mountain-200 Black, 42</c:v>
                </c:pt>
                <c:pt idx="2">
                  <c:v>Road-350-W Yellow, 48</c:v>
                </c:pt>
                <c:pt idx="3">
                  <c:v>Mountain-200 Black, 38</c:v>
                </c:pt>
                <c:pt idx="4">
                  <c:v>Touring-1000 Yellow, 60</c:v>
                </c:pt>
                <c:pt idx="5">
                  <c:v>Touring-1000 Blue, 50</c:v>
                </c:pt>
                <c:pt idx="6">
                  <c:v>Mountain-200 Silver, 42</c:v>
                </c:pt>
                <c:pt idx="7">
                  <c:v>Road-350-W Yellow, 40</c:v>
                </c:pt>
                <c:pt idx="8">
                  <c:v>Mountain-200 Black, 46</c:v>
                </c:pt>
                <c:pt idx="9">
                  <c:v>Road-350-W Yellow, 42</c:v>
                </c:pt>
              </c:strCache>
            </c:strRef>
          </c:cat>
          <c:val>
            <c:numRef>
              <c:f>'Pivot Tabeles'!$U$5:$U$15</c:f>
              <c:numCache>
                <c:formatCode>General</c:formatCode>
                <c:ptCount val="10"/>
                <c:pt idx="0">
                  <c:v>37191.491999999998</c:v>
                </c:pt>
                <c:pt idx="1">
                  <c:v>37178.838000000003</c:v>
                </c:pt>
                <c:pt idx="2">
                  <c:v>36486.235500000003</c:v>
                </c:pt>
                <c:pt idx="3">
                  <c:v>35801.843999999997</c:v>
                </c:pt>
                <c:pt idx="4">
                  <c:v>23413.474699999999</c:v>
                </c:pt>
                <c:pt idx="5">
                  <c:v>22887.072</c:v>
                </c:pt>
                <c:pt idx="6">
                  <c:v>20879.91</c:v>
                </c:pt>
                <c:pt idx="7">
                  <c:v>20411.88</c:v>
                </c:pt>
                <c:pt idx="8">
                  <c:v>19277.916000000001</c:v>
                </c:pt>
                <c:pt idx="9">
                  <c:v>18692.5193</c:v>
                </c:pt>
              </c:numCache>
            </c:numRef>
          </c:val>
          <c:extLst>
            <c:ext xmlns:c16="http://schemas.microsoft.com/office/drawing/2014/chart" uri="{C3380CC4-5D6E-409C-BE32-E72D297353CC}">
              <c16:uniqueId val="{00000000-8CE8-4B93-B56B-9BF703DB288F}"/>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598959280"/>
        <c:axId val="598957840"/>
      </c:areaChart>
      <c:catAx>
        <c:axId val="59895928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598957840"/>
        <c:crosses val="autoZero"/>
        <c:auto val="1"/>
        <c:lblAlgn val="ctr"/>
        <c:lblOffset val="100"/>
        <c:noMultiLvlLbl val="0"/>
      </c:catAx>
      <c:valAx>
        <c:axId val="59895784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895928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158115</xdr:colOff>
      <xdr:row>16</xdr:row>
      <xdr:rowOff>41910</xdr:rowOff>
    </xdr:from>
    <xdr:to>
      <xdr:col>3</xdr:col>
      <xdr:colOff>140970</xdr:colOff>
      <xdr:row>28</xdr:row>
      <xdr:rowOff>99060</xdr:rowOff>
    </xdr:to>
    <xdr:graphicFrame macro="">
      <xdr:nvGraphicFramePr>
        <xdr:cNvPr id="2" name="Chart 1">
          <a:extLst>
            <a:ext uri="{FF2B5EF4-FFF2-40B4-BE49-F238E27FC236}">
              <a16:creationId xmlns:a16="http://schemas.microsoft.com/office/drawing/2014/main" id="{DCB8F2DA-F45C-B940-E9E3-D34327C2E5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527685</xdr:colOff>
      <xdr:row>16</xdr:row>
      <xdr:rowOff>64770</xdr:rowOff>
    </xdr:from>
    <xdr:to>
      <xdr:col>6</xdr:col>
      <xdr:colOff>419100</xdr:colOff>
      <xdr:row>27</xdr:row>
      <xdr:rowOff>11430</xdr:rowOff>
    </xdr:to>
    <xdr:graphicFrame macro="">
      <xdr:nvGraphicFramePr>
        <xdr:cNvPr id="3" name="Chart 2">
          <a:extLst>
            <a:ext uri="{FF2B5EF4-FFF2-40B4-BE49-F238E27FC236}">
              <a16:creationId xmlns:a16="http://schemas.microsoft.com/office/drawing/2014/main" id="{B7CEF149-122C-A70A-C179-E857728D4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1116329</xdr:colOff>
      <xdr:row>15</xdr:row>
      <xdr:rowOff>110490</xdr:rowOff>
    </xdr:from>
    <xdr:to>
      <xdr:col>9</xdr:col>
      <xdr:colOff>62864</xdr:colOff>
      <xdr:row>27</xdr:row>
      <xdr:rowOff>121920</xdr:rowOff>
    </xdr:to>
    <xdr:graphicFrame macro="">
      <xdr:nvGraphicFramePr>
        <xdr:cNvPr id="4" name="Chart 3">
          <a:extLst>
            <a:ext uri="{FF2B5EF4-FFF2-40B4-BE49-F238E27FC236}">
              <a16:creationId xmlns:a16="http://schemas.microsoft.com/office/drawing/2014/main" id="{E7402D0A-60E5-EE34-99DA-88F01BA30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1074419</xdr:colOff>
      <xdr:row>7</xdr:row>
      <xdr:rowOff>133350</xdr:rowOff>
    </xdr:from>
    <xdr:to>
      <xdr:col>11</xdr:col>
      <xdr:colOff>952500</xdr:colOff>
      <xdr:row>19</xdr:row>
      <xdr:rowOff>163830</xdr:rowOff>
    </xdr:to>
    <xdr:graphicFrame macro="">
      <xdr:nvGraphicFramePr>
        <xdr:cNvPr id="5" name="Chart 4">
          <a:extLst>
            <a:ext uri="{FF2B5EF4-FFF2-40B4-BE49-F238E27FC236}">
              <a16:creationId xmlns:a16="http://schemas.microsoft.com/office/drawing/2014/main" id="{7AC361F0-E19C-11BE-CC9D-2B6299116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114299</xdr:colOff>
      <xdr:row>16</xdr:row>
      <xdr:rowOff>41910</xdr:rowOff>
    </xdr:from>
    <xdr:to>
      <xdr:col>20</xdr:col>
      <xdr:colOff>209550</xdr:colOff>
      <xdr:row>30</xdr:row>
      <xdr:rowOff>34290</xdr:rowOff>
    </xdr:to>
    <xdr:graphicFrame macro="">
      <xdr:nvGraphicFramePr>
        <xdr:cNvPr id="6" name="Chart 5">
          <a:extLst>
            <a:ext uri="{FF2B5EF4-FFF2-40B4-BE49-F238E27FC236}">
              <a16:creationId xmlns:a16="http://schemas.microsoft.com/office/drawing/2014/main" id="{B9E232CA-B4A1-51E6-F6EF-BCFAA2FB29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480059</xdr:colOff>
      <xdr:row>15</xdr:row>
      <xdr:rowOff>49530</xdr:rowOff>
    </xdr:from>
    <xdr:to>
      <xdr:col>24</xdr:col>
      <xdr:colOff>464820</xdr:colOff>
      <xdr:row>29</xdr:row>
      <xdr:rowOff>140970</xdr:rowOff>
    </xdr:to>
    <xdr:graphicFrame macro="">
      <xdr:nvGraphicFramePr>
        <xdr:cNvPr id="7" name="Chart 6">
          <a:extLst>
            <a:ext uri="{FF2B5EF4-FFF2-40B4-BE49-F238E27FC236}">
              <a16:creationId xmlns:a16="http://schemas.microsoft.com/office/drawing/2014/main" id="{D98F3344-5AD4-29A0-D7D6-9ED6F01C78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880110</xdr:colOff>
      <xdr:row>8</xdr:row>
      <xdr:rowOff>68580</xdr:rowOff>
    </xdr:from>
    <xdr:to>
      <xdr:col>28</xdr:col>
      <xdr:colOff>754379</xdr:colOff>
      <xdr:row>22</xdr:row>
      <xdr:rowOff>76200</xdr:rowOff>
    </xdr:to>
    <xdr:graphicFrame macro="">
      <xdr:nvGraphicFramePr>
        <xdr:cNvPr id="8" name="Chart 7">
          <a:extLst>
            <a:ext uri="{FF2B5EF4-FFF2-40B4-BE49-F238E27FC236}">
              <a16:creationId xmlns:a16="http://schemas.microsoft.com/office/drawing/2014/main" id="{34082FD1-895D-1527-B3B1-7690AF2403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800099</xdr:colOff>
      <xdr:row>15</xdr:row>
      <xdr:rowOff>179070</xdr:rowOff>
    </xdr:from>
    <xdr:to>
      <xdr:col>32</xdr:col>
      <xdr:colOff>120014</xdr:colOff>
      <xdr:row>28</xdr:row>
      <xdr:rowOff>118110</xdr:rowOff>
    </xdr:to>
    <xdr:graphicFrame macro="">
      <xdr:nvGraphicFramePr>
        <xdr:cNvPr id="9" name="Chart 8">
          <a:extLst>
            <a:ext uri="{FF2B5EF4-FFF2-40B4-BE49-F238E27FC236}">
              <a16:creationId xmlns:a16="http://schemas.microsoft.com/office/drawing/2014/main" id="{E1F73C0A-EBA2-8695-3043-7670E0BDF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xdr:rowOff>
    </xdr:from>
    <xdr:to>
      <xdr:col>28</xdr:col>
      <xdr:colOff>9524</xdr:colOff>
      <xdr:row>2</xdr:row>
      <xdr:rowOff>4763</xdr:rowOff>
    </xdr:to>
    <xdr:sp macro="" textlink="">
      <xdr:nvSpPr>
        <xdr:cNvPr id="2" name="TextBox 1">
          <a:extLst>
            <a:ext uri="{FF2B5EF4-FFF2-40B4-BE49-F238E27FC236}">
              <a16:creationId xmlns:a16="http://schemas.microsoft.com/office/drawing/2014/main" id="{578CE4EF-E1ED-70A8-57EE-F76EF5F88DC7}"/>
            </a:ext>
          </a:extLst>
        </xdr:cNvPr>
        <xdr:cNvSpPr txBox="1"/>
      </xdr:nvSpPr>
      <xdr:spPr>
        <a:xfrm>
          <a:off x="0" y="7620"/>
          <a:ext cx="17878424" cy="359093"/>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2">
                  <a:lumMod val="50000"/>
                </a:schemeClr>
              </a:solidFill>
            </a:rPr>
            <a:t>Sales Dashboard </a:t>
          </a:r>
        </a:p>
      </xdr:txBody>
    </xdr:sp>
    <xdr:clientData/>
  </xdr:twoCellAnchor>
  <xdr:twoCellAnchor>
    <xdr:from>
      <xdr:col>5</xdr:col>
      <xdr:colOff>25400</xdr:colOff>
      <xdr:row>20</xdr:row>
      <xdr:rowOff>143933</xdr:rowOff>
    </xdr:from>
    <xdr:to>
      <xdr:col>12</xdr:col>
      <xdr:colOff>338667</xdr:colOff>
      <xdr:row>31</xdr:row>
      <xdr:rowOff>148166</xdr:rowOff>
    </xdr:to>
    <xdr:graphicFrame macro="">
      <xdr:nvGraphicFramePr>
        <xdr:cNvPr id="3" name="Chart 2">
          <a:extLst>
            <a:ext uri="{FF2B5EF4-FFF2-40B4-BE49-F238E27FC236}">
              <a16:creationId xmlns:a16="http://schemas.microsoft.com/office/drawing/2014/main" id="{0E770725-DC4B-4CD1-8479-BCF44521F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541866</xdr:colOff>
      <xdr:row>20</xdr:row>
      <xdr:rowOff>173566</xdr:rowOff>
    </xdr:from>
    <xdr:to>
      <xdr:col>27</xdr:col>
      <xdr:colOff>309033</xdr:colOff>
      <xdr:row>31</xdr:row>
      <xdr:rowOff>118533</xdr:rowOff>
    </xdr:to>
    <xdr:graphicFrame macro="">
      <xdr:nvGraphicFramePr>
        <xdr:cNvPr id="4" name="Chart 3">
          <a:extLst>
            <a:ext uri="{FF2B5EF4-FFF2-40B4-BE49-F238E27FC236}">
              <a16:creationId xmlns:a16="http://schemas.microsoft.com/office/drawing/2014/main" id="{525FACDD-FDA0-4E84-BDA1-DB278D039D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139277</xdr:colOff>
      <xdr:row>2</xdr:row>
      <xdr:rowOff>172825</xdr:rowOff>
    </xdr:from>
    <xdr:to>
      <xdr:col>8</xdr:col>
      <xdr:colOff>508000</xdr:colOff>
      <xdr:row>6</xdr:row>
      <xdr:rowOff>57043</xdr:rowOff>
    </xdr:to>
    <xdr:sp macro="" textlink="'Pivot Tabeles'!N7">
      <xdr:nvSpPr>
        <xdr:cNvPr id="5" name="TextBox 4">
          <a:extLst>
            <a:ext uri="{FF2B5EF4-FFF2-40B4-BE49-F238E27FC236}">
              <a16:creationId xmlns:a16="http://schemas.microsoft.com/office/drawing/2014/main" id="{5111A8C5-30EA-A6E5-7987-B11A4A375B18}"/>
            </a:ext>
          </a:extLst>
        </xdr:cNvPr>
        <xdr:cNvSpPr txBox="1"/>
      </xdr:nvSpPr>
      <xdr:spPr>
        <a:xfrm>
          <a:off x="3330152" y="534775"/>
          <a:ext cx="2283248" cy="608118"/>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5C8C13-76C1-46D2-BE7F-7EAA80E8517A}" type="TxLink">
            <a:rPr lang="en-US" sz="1400" b="1" i="1" u="none" strike="noStrike">
              <a:solidFill>
                <a:srgbClr val="000000"/>
              </a:solidFill>
              <a:latin typeface="Calibri"/>
              <a:cs typeface="Calibri"/>
            </a:rPr>
            <a:pPr algn="ctr"/>
            <a:t>$708,690</a:t>
          </a:fld>
          <a:endParaRPr lang="en-US" sz="1600" b="1" i="1">
            <a:solidFill>
              <a:schemeClr val="accent6">
                <a:lumMod val="75000"/>
              </a:schemeClr>
            </a:solidFill>
          </a:endParaRPr>
        </a:p>
      </xdr:txBody>
    </xdr:sp>
    <xdr:clientData/>
  </xdr:twoCellAnchor>
  <xdr:twoCellAnchor>
    <xdr:from>
      <xdr:col>9</xdr:col>
      <xdr:colOff>434234</xdr:colOff>
      <xdr:row>3</xdr:row>
      <xdr:rowOff>2221</xdr:rowOff>
    </xdr:from>
    <xdr:to>
      <xdr:col>13</xdr:col>
      <xdr:colOff>162030</xdr:colOff>
      <xdr:row>6</xdr:row>
      <xdr:rowOff>46672</xdr:rowOff>
    </xdr:to>
    <xdr:sp macro="" textlink="'Pivot Tabeles'!O7">
      <xdr:nvSpPr>
        <xdr:cNvPr id="6" name="TextBox 5">
          <a:extLst>
            <a:ext uri="{FF2B5EF4-FFF2-40B4-BE49-F238E27FC236}">
              <a16:creationId xmlns:a16="http://schemas.microsoft.com/office/drawing/2014/main" id="{90F0FB9A-3A5E-BD2F-2F7C-5D646E1B598F}"/>
            </a:ext>
          </a:extLst>
        </xdr:cNvPr>
        <xdr:cNvSpPr txBox="1"/>
      </xdr:nvSpPr>
      <xdr:spPr>
        <a:xfrm>
          <a:off x="6177809" y="545146"/>
          <a:ext cx="2280496" cy="587376"/>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94829C4-56CF-436B-9543-F9D0F208D6F2}" type="TxLink">
            <a:rPr lang="en-US" sz="1400" b="1" i="1" u="none" strike="noStrike">
              <a:solidFill>
                <a:srgbClr val="000000"/>
              </a:solidFill>
              <a:effectLst/>
              <a:latin typeface="Calibri"/>
              <a:ea typeface="+mn-ea"/>
              <a:cs typeface="Calibri"/>
            </a:rPr>
            <a:pPr marL="0" indent="0" algn="ctr"/>
            <a:t>2087</a:t>
          </a:fld>
          <a:endParaRPr lang="en-US" sz="1800" b="1" i="1" u="none" strike="noStrike">
            <a:solidFill>
              <a:schemeClr val="accent6">
                <a:lumMod val="75000"/>
              </a:schemeClr>
            </a:solidFill>
            <a:effectLst/>
            <a:latin typeface="+mn-lt"/>
            <a:ea typeface="+mn-ea"/>
            <a:cs typeface="+mn-cs"/>
          </a:endParaRPr>
        </a:p>
      </xdr:txBody>
    </xdr:sp>
    <xdr:clientData/>
  </xdr:twoCellAnchor>
  <xdr:twoCellAnchor>
    <xdr:from>
      <xdr:col>18</xdr:col>
      <xdr:colOff>486092</xdr:colOff>
      <xdr:row>3</xdr:row>
      <xdr:rowOff>3386</xdr:rowOff>
    </xdr:from>
    <xdr:to>
      <xdr:col>22</xdr:col>
      <xdr:colOff>177059</xdr:colOff>
      <xdr:row>6</xdr:row>
      <xdr:rowOff>45508</xdr:rowOff>
    </xdr:to>
    <xdr:sp macro="" textlink="'Pivot Tabeles'!Q7">
      <xdr:nvSpPr>
        <xdr:cNvPr id="7" name="TextBox 6">
          <a:extLst>
            <a:ext uri="{FF2B5EF4-FFF2-40B4-BE49-F238E27FC236}">
              <a16:creationId xmlns:a16="http://schemas.microsoft.com/office/drawing/2014/main" id="{B3C72F20-3224-A291-4860-877ABB83E0A2}"/>
            </a:ext>
          </a:extLst>
        </xdr:cNvPr>
        <xdr:cNvSpPr txBox="1"/>
      </xdr:nvSpPr>
      <xdr:spPr>
        <a:xfrm>
          <a:off x="11973242" y="546311"/>
          <a:ext cx="2243667" cy="585047"/>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072F8A2-EE5A-4BE9-8EC7-69DFF6A5227A}" type="TxLink">
            <a:rPr lang="en-US" sz="1400" b="1" i="1" u="none" strike="noStrike">
              <a:solidFill>
                <a:srgbClr val="000000"/>
              </a:solidFill>
              <a:effectLst/>
              <a:latin typeface="Calibri"/>
              <a:ea typeface="+mn-ea"/>
              <a:cs typeface="Calibri"/>
            </a:rPr>
            <a:pPr marL="0" indent="0" algn="ctr"/>
            <a:t>142</a:t>
          </a:fld>
          <a:endParaRPr lang="en-US" sz="1400" b="1" i="1" u="none" strike="noStrike">
            <a:solidFill>
              <a:srgbClr val="000000"/>
            </a:solidFill>
            <a:effectLst/>
            <a:latin typeface="Calibri"/>
            <a:ea typeface="+mn-ea"/>
            <a:cs typeface="Calibri"/>
          </a:endParaRPr>
        </a:p>
      </xdr:txBody>
    </xdr:sp>
    <xdr:clientData/>
  </xdr:twoCellAnchor>
  <xdr:twoCellAnchor>
    <xdr:from>
      <xdr:col>14</xdr:col>
      <xdr:colOff>88264</xdr:colOff>
      <xdr:row>3</xdr:row>
      <xdr:rowOff>9100</xdr:rowOff>
    </xdr:from>
    <xdr:to>
      <xdr:col>17</xdr:col>
      <xdr:colOff>559858</xdr:colOff>
      <xdr:row>6</xdr:row>
      <xdr:rowOff>39793</xdr:rowOff>
    </xdr:to>
    <xdr:sp macro="" textlink="'Pivot Tabeles'!P7">
      <xdr:nvSpPr>
        <xdr:cNvPr id="8" name="TextBox 7">
          <a:extLst>
            <a:ext uri="{FF2B5EF4-FFF2-40B4-BE49-F238E27FC236}">
              <a16:creationId xmlns:a16="http://schemas.microsoft.com/office/drawing/2014/main" id="{60573855-4EA7-B66F-DF97-6D3B6DEC1162}"/>
            </a:ext>
          </a:extLst>
        </xdr:cNvPr>
        <xdr:cNvSpPr txBox="1"/>
      </xdr:nvSpPr>
      <xdr:spPr>
        <a:xfrm>
          <a:off x="9022714" y="552025"/>
          <a:ext cx="2386119" cy="573618"/>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2705B44-2CE5-44A0-BD1B-A83ADB11FF56}" type="TxLink">
            <a:rPr lang="en-US" sz="1400" b="1" i="1" u="none" strike="noStrike">
              <a:solidFill>
                <a:srgbClr val="000000"/>
              </a:solidFill>
              <a:effectLst/>
              <a:latin typeface="Calibri"/>
              <a:ea typeface="+mn-ea"/>
              <a:cs typeface="Calibri"/>
            </a:rPr>
            <a:pPr marL="0" indent="0" algn="ctr"/>
            <a:t>32</a:t>
          </a:fld>
          <a:endParaRPr lang="en-US" sz="1400" b="1" i="1" u="none" strike="noStrike">
            <a:effectLst/>
            <a:ea typeface="+mn-ea"/>
          </a:endParaRPr>
        </a:p>
      </xdr:txBody>
    </xdr:sp>
    <xdr:clientData/>
  </xdr:twoCellAnchor>
  <xdr:twoCellAnchor>
    <xdr:from>
      <xdr:col>23</xdr:col>
      <xdr:colOff>103293</xdr:colOff>
      <xdr:row>3</xdr:row>
      <xdr:rowOff>9207</xdr:rowOff>
    </xdr:from>
    <xdr:to>
      <xdr:col>26</xdr:col>
      <xdr:colOff>522393</xdr:colOff>
      <xdr:row>6</xdr:row>
      <xdr:rowOff>39687</xdr:rowOff>
    </xdr:to>
    <xdr:sp macro="" textlink="'Pivot Tabeles'!R7">
      <xdr:nvSpPr>
        <xdr:cNvPr id="9" name="TextBox 8">
          <a:extLst>
            <a:ext uri="{FF2B5EF4-FFF2-40B4-BE49-F238E27FC236}">
              <a16:creationId xmlns:a16="http://schemas.microsoft.com/office/drawing/2014/main" id="{2D8604F2-AA46-150C-4965-259FF7E84FF9}"/>
            </a:ext>
          </a:extLst>
        </xdr:cNvPr>
        <xdr:cNvSpPr txBox="1"/>
      </xdr:nvSpPr>
      <xdr:spPr>
        <a:xfrm>
          <a:off x="14781318" y="552132"/>
          <a:ext cx="2333625" cy="573405"/>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BC659B1-484D-4433-9EF2-CE569C374E40}" type="TxLink">
            <a:rPr lang="en-US" sz="1400" b="1" i="1" u="none" strike="noStrike">
              <a:solidFill>
                <a:srgbClr val="000000"/>
              </a:solidFill>
              <a:effectLst/>
              <a:latin typeface="Calibri"/>
              <a:ea typeface="+mn-ea"/>
              <a:cs typeface="Calibri"/>
            </a:rPr>
            <a:pPr marL="0" indent="0" algn="ctr"/>
            <a:t>$22,147</a:t>
          </a:fld>
          <a:endParaRPr lang="en-US" sz="1400" b="1" i="1" u="none" strike="noStrike">
            <a:solidFill>
              <a:srgbClr val="000000"/>
            </a:solidFill>
            <a:effectLst/>
            <a:latin typeface="Calibri"/>
            <a:ea typeface="+mn-ea"/>
            <a:cs typeface="Calibri"/>
          </a:endParaRPr>
        </a:p>
      </xdr:txBody>
    </xdr:sp>
    <xdr:clientData/>
  </xdr:twoCellAnchor>
  <xdr:twoCellAnchor>
    <xdr:from>
      <xdr:col>5</xdr:col>
      <xdr:colOff>29633</xdr:colOff>
      <xdr:row>7</xdr:row>
      <xdr:rowOff>97367</xdr:rowOff>
    </xdr:from>
    <xdr:to>
      <xdr:col>12</xdr:col>
      <xdr:colOff>280988</xdr:colOff>
      <xdr:row>19</xdr:row>
      <xdr:rowOff>85724</xdr:rowOff>
    </xdr:to>
    <xdr:graphicFrame macro="">
      <xdr:nvGraphicFramePr>
        <xdr:cNvPr id="10" name="Chart 9">
          <a:extLst>
            <a:ext uri="{FF2B5EF4-FFF2-40B4-BE49-F238E27FC236}">
              <a16:creationId xmlns:a16="http://schemas.microsoft.com/office/drawing/2014/main" id="{06625CC0-FC28-46E3-88F6-4B9779F2C5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70906</xdr:colOff>
      <xdr:row>20</xdr:row>
      <xdr:rowOff>154516</xdr:rowOff>
    </xdr:from>
    <xdr:to>
      <xdr:col>23</xdr:col>
      <xdr:colOff>350308</xdr:colOff>
      <xdr:row>31</xdr:row>
      <xdr:rowOff>137584</xdr:rowOff>
    </xdr:to>
    <xdr:graphicFrame macro="">
      <xdr:nvGraphicFramePr>
        <xdr:cNvPr id="11" name="Chart 10">
          <a:extLst>
            <a:ext uri="{FF2B5EF4-FFF2-40B4-BE49-F238E27FC236}">
              <a16:creationId xmlns:a16="http://schemas.microsoft.com/office/drawing/2014/main" id="{2CB56F5C-54CD-487B-B7C5-6AA91E1DA1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55034</xdr:colOff>
      <xdr:row>15</xdr:row>
      <xdr:rowOff>143933</xdr:rowOff>
    </xdr:from>
    <xdr:to>
      <xdr:col>4</xdr:col>
      <xdr:colOff>554567</xdr:colOff>
      <xdr:row>32</xdr:row>
      <xdr:rowOff>0</xdr:rowOff>
    </xdr:to>
    <xdr:graphicFrame macro="">
      <xdr:nvGraphicFramePr>
        <xdr:cNvPr id="15" name="Chart 14">
          <a:extLst>
            <a:ext uri="{FF2B5EF4-FFF2-40B4-BE49-F238E27FC236}">
              <a16:creationId xmlns:a16="http://schemas.microsoft.com/office/drawing/2014/main" id="{2FB24DB1-477D-4567-85AA-79BFABE08F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550598</xdr:colOff>
      <xdr:row>7</xdr:row>
      <xdr:rowOff>123295</xdr:rowOff>
    </xdr:from>
    <xdr:to>
      <xdr:col>19</xdr:col>
      <xdr:colOff>508266</xdr:colOff>
      <xdr:row>19</xdr:row>
      <xdr:rowOff>59795</xdr:rowOff>
    </xdr:to>
    <xdr:graphicFrame macro="">
      <xdr:nvGraphicFramePr>
        <xdr:cNvPr id="16" name="Chart 15">
          <a:extLst>
            <a:ext uri="{FF2B5EF4-FFF2-40B4-BE49-F238E27FC236}">
              <a16:creationId xmlns:a16="http://schemas.microsoft.com/office/drawing/2014/main" id="{CCA0F90E-60F0-4C20-8B9C-B90F1DA076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139701</xdr:colOff>
      <xdr:row>7</xdr:row>
      <xdr:rowOff>152400</xdr:rowOff>
    </xdr:from>
    <xdr:to>
      <xdr:col>27</xdr:col>
      <xdr:colOff>279400</xdr:colOff>
      <xdr:row>19</xdr:row>
      <xdr:rowOff>30691</xdr:rowOff>
    </xdr:to>
    <xdr:graphicFrame macro="">
      <xdr:nvGraphicFramePr>
        <xdr:cNvPr id="17" name="Chart 16">
          <a:extLst>
            <a:ext uri="{FF2B5EF4-FFF2-40B4-BE49-F238E27FC236}">
              <a16:creationId xmlns:a16="http://schemas.microsoft.com/office/drawing/2014/main" id="{4DA0FD2D-6D26-471E-8FD1-F026D817B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530224</xdr:colOff>
      <xdr:row>20</xdr:row>
      <xdr:rowOff>169333</xdr:rowOff>
    </xdr:from>
    <xdr:to>
      <xdr:col>19</xdr:col>
      <xdr:colOff>517524</xdr:colOff>
      <xdr:row>31</xdr:row>
      <xdr:rowOff>122767</xdr:rowOff>
    </xdr:to>
    <xdr:graphicFrame macro="">
      <xdr:nvGraphicFramePr>
        <xdr:cNvPr id="18" name="Chart 17">
          <a:extLst>
            <a:ext uri="{FF2B5EF4-FFF2-40B4-BE49-F238E27FC236}">
              <a16:creationId xmlns:a16="http://schemas.microsoft.com/office/drawing/2014/main" id="{53804165-30B6-4342-95E5-9446AE348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124460</xdr:colOff>
      <xdr:row>1</xdr:row>
      <xdr:rowOff>170391</xdr:rowOff>
    </xdr:from>
    <xdr:to>
      <xdr:col>4</xdr:col>
      <xdr:colOff>482602</xdr:colOff>
      <xdr:row>8</xdr:row>
      <xdr:rowOff>103716</xdr:rowOff>
    </xdr:to>
    <mc:AlternateContent xmlns:mc="http://schemas.openxmlformats.org/markup-compatibility/2006" xmlns:a14="http://schemas.microsoft.com/office/drawing/2010/main">
      <mc:Choice Requires="a14">
        <xdr:graphicFrame macro="">
          <xdr:nvGraphicFramePr>
            <xdr:cNvPr id="20" name="Color">
              <a:extLst>
                <a:ext uri="{FF2B5EF4-FFF2-40B4-BE49-F238E27FC236}">
                  <a16:creationId xmlns:a16="http://schemas.microsoft.com/office/drawing/2014/main" id="{87129EA3-8F95-1C88-EFD9-8F3C1AA3722F}"/>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400810" y="351366"/>
              <a:ext cx="1634492" cy="1200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124461</xdr:colOff>
      <xdr:row>9</xdr:row>
      <xdr:rowOff>21167</xdr:rowOff>
    </xdr:from>
    <xdr:to>
      <xdr:col>4</xdr:col>
      <xdr:colOff>482601</xdr:colOff>
      <xdr:row>15</xdr:row>
      <xdr:rowOff>33868</xdr:rowOff>
    </xdr:to>
    <mc:AlternateContent xmlns:mc="http://schemas.openxmlformats.org/markup-compatibility/2006" xmlns:a14="http://schemas.microsoft.com/office/drawing/2010/main">
      <mc:Choice Requires="a14">
        <xdr:graphicFrame macro="">
          <xdr:nvGraphicFramePr>
            <xdr:cNvPr id="21" name="Price Category Classify">
              <a:extLst>
                <a:ext uri="{FF2B5EF4-FFF2-40B4-BE49-F238E27FC236}">
                  <a16:creationId xmlns:a16="http://schemas.microsoft.com/office/drawing/2014/main" id="{7A6069F0-9492-3E4E-96AE-F46435C3B7BB}"/>
                </a:ext>
              </a:extLst>
            </xdr:cNvPr>
            <xdr:cNvGraphicFramePr/>
          </xdr:nvGraphicFramePr>
          <xdr:xfrm>
            <a:off x="0" y="0"/>
            <a:ext cx="0" cy="0"/>
          </xdr:xfrm>
          <a:graphic>
            <a:graphicData uri="http://schemas.microsoft.com/office/drawing/2010/slicer">
              <sle:slicer xmlns:sle="http://schemas.microsoft.com/office/drawing/2010/slicer" name="Price Category Classify"/>
            </a:graphicData>
          </a:graphic>
        </xdr:graphicFrame>
      </mc:Choice>
      <mc:Fallback xmlns="">
        <xdr:sp macro="" textlink="">
          <xdr:nvSpPr>
            <xdr:cNvPr id="0" name=""/>
            <xdr:cNvSpPr>
              <a:spLocks noTextEdit="1"/>
            </xdr:cNvSpPr>
          </xdr:nvSpPr>
          <xdr:spPr>
            <a:xfrm>
              <a:off x="1400811" y="1649942"/>
              <a:ext cx="1634490" cy="10985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4763</xdr:colOff>
      <xdr:row>2</xdr:row>
      <xdr:rowOff>28575</xdr:rowOff>
    </xdr:from>
    <xdr:to>
      <xdr:col>2</xdr:col>
      <xdr:colOff>69533</xdr:colOff>
      <xdr:row>15</xdr:row>
      <xdr:rowOff>33338</xdr:rowOff>
    </xdr:to>
    <mc:AlternateContent xmlns:mc="http://schemas.openxmlformats.org/markup-compatibility/2006" xmlns:a14="http://schemas.microsoft.com/office/drawing/2010/main">
      <mc:Choice Requires="a14">
        <xdr:graphicFrame macro="">
          <xdr:nvGraphicFramePr>
            <xdr:cNvPr id="22" name="StateProvince 2">
              <a:extLst>
                <a:ext uri="{FF2B5EF4-FFF2-40B4-BE49-F238E27FC236}">
                  <a16:creationId xmlns:a16="http://schemas.microsoft.com/office/drawing/2014/main" id="{1AA3B14B-B58D-4139-B88F-A4489EE40E93}"/>
                </a:ext>
              </a:extLst>
            </xdr:cNvPr>
            <xdr:cNvGraphicFramePr/>
          </xdr:nvGraphicFramePr>
          <xdr:xfrm>
            <a:off x="0" y="0"/>
            <a:ext cx="0" cy="0"/>
          </xdr:xfrm>
          <a:graphic>
            <a:graphicData uri="http://schemas.microsoft.com/office/drawing/2010/slicer">
              <sle:slicer xmlns:sle="http://schemas.microsoft.com/office/drawing/2010/slicer" name="StateProvince 2"/>
            </a:graphicData>
          </a:graphic>
        </xdr:graphicFrame>
      </mc:Choice>
      <mc:Fallback xmlns="">
        <xdr:sp macro="" textlink="">
          <xdr:nvSpPr>
            <xdr:cNvPr id="0" name=""/>
            <xdr:cNvSpPr>
              <a:spLocks noTextEdit="1"/>
            </xdr:cNvSpPr>
          </xdr:nvSpPr>
          <xdr:spPr>
            <a:xfrm>
              <a:off x="4763" y="390525"/>
              <a:ext cx="1341120" cy="14439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509587</xdr:colOff>
      <xdr:row>2</xdr:row>
      <xdr:rowOff>76198</xdr:rowOff>
    </xdr:from>
    <xdr:to>
      <xdr:col>8</xdr:col>
      <xdr:colOff>214311</xdr:colOff>
      <xdr:row>3</xdr:row>
      <xdr:rowOff>104774</xdr:rowOff>
    </xdr:to>
    <xdr:sp macro="" textlink="">
      <xdr:nvSpPr>
        <xdr:cNvPr id="23" name="TextBox 22">
          <a:extLst>
            <a:ext uri="{FF2B5EF4-FFF2-40B4-BE49-F238E27FC236}">
              <a16:creationId xmlns:a16="http://schemas.microsoft.com/office/drawing/2014/main" id="{936D3FFA-7A84-2562-92BD-9D8906B00A5C}"/>
            </a:ext>
          </a:extLst>
        </xdr:cNvPr>
        <xdr:cNvSpPr txBox="1"/>
      </xdr:nvSpPr>
      <xdr:spPr>
        <a:xfrm>
          <a:off x="3700462" y="438148"/>
          <a:ext cx="1619249" cy="209551"/>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accent2">
                  <a:lumMod val="75000"/>
                </a:schemeClr>
              </a:solidFill>
              <a:effectLst/>
              <a:latin typeface="+mn-lt"/>
              <a:ea typeface="+mn-ea"/>
              <a:cs typeface="+mn-cs"/>
            </a:rPr>
            <a:t>Total Sales</a:t>
          </a:r>
          <a:r>
            <a:rPr lang="en-US" b="1">
              <a:solidFill>
                <a:schemeClr val="accent2">
                  <a:lumMod val="75000"/>
                </a:schemeClr>
              </a:solidFill>
              <a:effectLst/>
            </a:rPr>
            <a:t> </a:t>
          </a:r>
          <a:endParaRPr lang="en-US" sz="1100" b="1">
            <a:solidFill>
              <a:schemeClr val="accent2">
                <a:lumMod val="75000"/>
              </a:schemeClr>
            </a:solidFill>
          </a:endParaRPr>
        </a:p>
      </xdr:txBody>
    </xdr:sp>
    <xdr:clientData/>
  </xdr:twoCellAnchor>
  <xdr:twoCellAnchor>
    <xdr:from>
      <xdr:col>10</xdr:col>
      <xdr:colOff>261937</xdr:colOff>
      <xdr:row>2</xdr:row>
      <xdr:rowOff>80964</xdr:rowOff>
    </xdr:from>
    <xdr:to>
      <xdr:col>12</xdr:col>
      <xdr:colOff>442912</xdr:colOff>
      <xdr:row>3</xdr:row>
      <xdr:rowOff>100013</xdr:rowOff>
    </xdr:to>
    <xdr:sp macro="" textlink="">
      <xdr:nvSpPr>
        <xdr:cNvPr id="24" name="TextBox 23">
          <a:extLst>
            <a:ext uri="{FF2B5EF4-FFF2-40B4-BE49-F238E27FC236}">
              <a16:creationId xmlns:a16="http://schemas.microsoft.com/office/drawing/2014/main" id="{6B075F43-67EA-1B4F-0A97-78B6E284C6A9}"/>
            </a:ext>
          </a:extLst>
        </xdr:cNvPr>
        <xdr:cNvSpPr txBox="1"/>
      </xdr:nvSpPr>
      <xdr:spPr>
        <a:xfrm>
          <a:off x="6643687" y="442914"/>
          <a:ext cx="1457325" cy="200024"/>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100" b="1" i="0" u="none" strike="noStrike">
              <a:solidFill>
                <a:schemeClr val="accent2">
                  <a:lumMod val="75000"/>
                </a:schemeClr>
              </a:solidFill>
              <a:effectLst/>
              <a:latin typeface="+mn-lt"/>
              <a:ea typeface="+mn-ea"/>
              <a:cs typeface="+mn-cs"/>
            </a:rPr>
            <a:t>Total_ Quantaity </a:t>
          </a:r>
        </a:p>
      </xdr:txBody>
    </xdr:sp>
    <xdr:clientData/>
  </xdr:twoCellAnchor>
  <xdr:twoCellAnchor>
    <xdr:from>
      <xdr:col>14</xdr:col>
      <xdr:colOff>609599</xdr:colOff>
      <xdr:row>2</xdr:row>
      <xdr:rowOff>80962</xdr:rowOff>
    </xdr:from>
    <xdr:to>
      <xdr:col>17</xdr:col>
      <xdr:colOff>166688</xdr:colOff>
      <xdr:row>3</xdr:row>
      <xdr:rowOff>119063</xdr:rowOff>
    </xdr:to>
    <xdr:sp macro="" textlink="">
      <xdr:nvSpPr>
        <xdr:cNvPr id="25" name="TextBox 24">
          <a:extLst>
            <a:ext uri="{FF2B5EF4-FFF2-40B4-BE49-F238E27FC236}">
              <a16:creationId xmlns:a16="http://schemas.microsoft.com/office/drawing/2014/main" id="{9B872A79-6212-2C33-5FF3-D70A80578D0B}"/>
            </a:ext>
          </a:extLst>
        </xdr:cNvPr>
        <xdr:cNvSpPr txBox="1"/>
      </xdr:nvSpPr>
      <xdr:spPr>
        <a:xfrm>
          <a:off x="9544049" y="442912"/>
          <a:ext cx="1471614" cy="219076"/>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accent2">
                  <a:lumMod val="75000"/>
                </a:schemeClr>
              </a:solidFill>
              <a:effectLst/>
              <a:latin typeface="+mn-lt"/>
              <a:ea typeface="+mn-ea"/>
              <a:cs typeface="+mn-cs"/>
            </a:rPr>
            <a:t>Customer Count</a:t>
          </a:r>
          <a:r>
            <a:rPr lang="en-US">
              <a:solidFill>
                <a:schemeClr val="accent2">
                  <a:lumMod val="75000"/>
                </a:schemeClr>
              </a:solidFill>
              <a:effectLst/>
            </a:rPr>
            <a:t> </a:t>
          </a:r>
          <a:endParaRPr lang="en-US" sz="1100">
            <a:solidFill>
              <a:schemeClr val="accent2">
                <a:lumMod val="75000"/>
              </a:schemeClr>
            </a:solidFill>
          </a:endParaRPr>
        </a:p>
      </xdr:txBody>
    </xdr:sp>
    <xdr:clientData/>
  </xdr:twoCellAnchor>
  <xdr:twoCellAnchor>
    <xdr:from>
      <xdr:col>19</xdr:col>
      <xdr:colOff>204788</xdr:colOff>
      <xdr:row>2</xdr:row>
      <xdr:rowOff>100013</xdr:rowOff>
    </xdr:from>
    <xdr:to>
      <xdr:col>21</xdr:col>
      <xdr:colOff>495299</xdr:colOff>
      <xdr:row>3</xdr:row>
      <xdr:rowOff>157163</xdr:rowOff>
    </xdr:to>
    <xdr:sp macro="" textlink="">
      <xdr:nvSpPr>
        <xdr:cNvPr id="26" name="TextBox 25">
          <a:extLst>
            <a:ext uri="{FF2B5EF4-FFF2-40B4-BE49-F238E27FC236}">
              <a16:creationId xmlns:a16="http://schemas.microsoft.com/office/drawing/2014/main" id="{A1BF642B-EEC2-8722-A7B9-25FCCF27D569}"/>
            </a:ext>
          </a:extLst>
        </xdr:cNvPr>
        <xdr:cNvSpPr txBox="1"/>
      </xdr:nvSpPr>
      <xdr:spPr>
        <a:xfrm>
          <a:off x="12330113" y="461963"/>
          <a:ext cx="1566861" cy="238125"/>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accent2">
                  <a:lumMod val="75000"/>
                </a:schemeClr>
              </a:solidFill>
              <a:effectLst/>
              <a:latin typeface="+mn-lt"/>
              <a:ea typeface="+mn-ea"/>
              <a:cs typeface="+mn-cs"/>
            </a:rPr>
            <a:t>Product Count</a:t>
          </a:r>
          <a:r>
            <a:rPr lang="en-US">
              <a:solidFill>
                <a:schemeClr val="accent2">
                  <a:lumMod val="75000"/>
                </a:schemeClr>
              </a:solidFill>
              <a:effectLst/>
            </a:rPr>
            <a:t> </a:t>
          </a:r>
          <a:endParaRPr lang="en-US" sz="1100">
            <a:solidFill>
              <a:schemeClr val="accent2">
                <a:lumMod val="75000"/>
              </a:schemeClr>
            </a:solidFill>
          </a:endParaRPr>
        </a:p>
      </xdr:txBody>
    </xdr:sp>
    <xdr:clientData/>
  </xdr:twoCellAnchor>
  <xdr:twoCellAnchor>
    <xdr:from>
      <xdr:col>24</xdr:col>
      <xdr:colOff>14288</xdr:colOff>
      <xdr:row>2</xdr:row>
      <xdr:rowOff>61913</xdr:rowOff>
    </xdr:from>
    <xdr:to>
      <xdr:col>26</xdr:col>
      <xdr:colOff>157163</xdr:colOff>
      <xdr:row>3</xdr:row>
      <xdr:rowOff>133350</xdr:rowOff>
    </xdr:to>
    <xdr:sp macro="" textlink="">
      <xdr:nvSpPr>
        <xdr:cNvPr id="27" name="TextBox 26">
          <a:extLst>
            <a:ext uri="{FF2B5EF4-FFF2-40B4-BE49-F238E27FC236}">
              <a16:creationId xmlns:a16="http://schemas.microsoft.com/office/drawing/2014/main" id="{58B237F9-E5E8-3A50-80E5-EA3224FC7022}"/>
            </a:ext>
          </a:extLst>
        </xdr:cNvPr>
        <xdr:cNvSpPr txBox="1"/>
      </xdr:nvSpPr>
      <xdr:spPr>
        <a:xfrm>
          <a:off x="15330488" y="423863"/>
          <a:ext cx="1419225" cy="252412"/>
        </a:xfrm>
        <a:prstGeom prst="rect">
          <a:avLst/>
        </a:prstGeom>
        <a:solidFill>
          <a:schemeClr val="accent1">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i="0" u="none" strike="noStrike">
              <a:solidFill>
                <a:schemeClr val="accent2">
                  <a:lumMod val="75000"/>
                </a:schemeClr>
              </a:solidFill>
              <a:effectLst/>
              <a:latin typeface="+mn-lt"/>
              <a:ea typeface="+mn-ea"/>
              <a:cs typeface="+mn-cs"/>
            </a:rPr>
            <a:t>Sales per Customer</a:t>
          </a:r>
          <a:r>
            <a:rPr lang="en-US">
              <a:solidFill>
                <a:schemeClr val="accent2">
                  <a:lumMod val="75000"/>
                </a:schemeClr>
              </a:solidFill>
              <a:effectLst/>
            </a:rPr>
            <a:t> </a:t>
          </a:r>
          <a:endParaRPr lang="en-US" sz="1100">
            <a:solidFill>
              <a:schemeClr val="accent2">
                <a:lumMod val="75000"/>
              </a:schemeClr>
            </a:solidFill>
          </a:endParaRPr>
        </a:p>
      </xdr:txBody>
    </xdr:sp>
    <xdr:clientData/>
  </xdr:twoCellAnchor>
  <xdr:twoCellAnchor editAs="oneCell">
    <xdr:from>
      <xdr:col>15</xdr:col>
      <xdr:colOff>342901</xdr:colOff>
      <xdr:row>0</xdr:row>
      <xdr:rowOff>28575</xdr:rowOff>
    </xdr:from>
    <xdr:to>
      <xdr:col>16</xdr:col>
      <xdr:colOff>266700</xdr:colOff>
      <xdr:row>1</xdr:row>
      <xdr:rowOff>170329</xdr:rowOff>
    </xdr:to>
    <xdr:pic>
      <xdr:nvPicPr>
        <xdr:cNvPr id="14" name="Picture 13">
          <a:extLst>
            <a:ext uri="{FF2B5EF4-FFF2-40B4-BE49-F238E27FC236}">
              <a16:creationId xmlns:a16="http://schemas.microsoft.com/office/drawing/2014/main" id="{7C80A55B-A9B8-2115-26EF-17E04E31330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915526" y="28575"/>
          <a:ext cx="561974" cy="322729"/>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75231484" createdVersion="5" refreshedVersion="8" minRefreshableVersion="3" recordCount="0" supportSubquery="1" supportAdvancedDrill="1" xr:uid="{9BCB6804-5D69-44AF-B164-47EFC262A297}">
  <cacheSource type="external" connectionId="5"/>
  <cacheFields count="5">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Dim_Product].[ProductName].[ProductName]" caption="ProductName" numFmtId="0" hierarchy="14" level="1">
      <sharedItems count="10">
        <s v="Mountain-200 Black, 38"/>
        <s v="Mountain-200 Black, 42"/>
        <s v="Mountain-200 Black, 46"/>
        <s v="Mountain-200 Silver, 42"/>
        <s v="Road-350-W Yellow, 40"/>
        <s v="Road-350-W Yellow, 42"/>
        <s v="Road-350-W Yellow, 48"/>
        <s v="Touring-1000 Blue, 50"/>
        <s v="Touring-1000 Blue, 60"/>
        <s v="Touring-1000 Yellow, 60"/>
      </sharedItems>
    </cacheField>
    <cacheField name="[Measures].[Total Sales]" caption="Total Sales" numFmtId="0" hierarchy="33" level="32767"/>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2"/>
      </fieldsUsage>
    </cacheHierarchy>
    <cacheHierarchy uniqueName="[Dim_Product].[Color]" caption="Color" attribute="1" defaultMemberUniqueName="[Dim_Product].[Color].[All]" allUniqueName="[Dim_Product].[Color].[All]" dimensionUniqueName="[Dim_Product]" displayFolder="" count="2" memberValueDatatype="130" unbalanced="0">
      <fieldsUsage count="2">
        <fieldUsage x="-1"/>
        <fieldUsage x="4"/>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oneField="1">
      <fieldsUsage count="1">
        <fieldUsage x="3"/>
      </fieldsUsage>
    </cacheHierarchy>
    <cacheHierarchy uniqueName="[Measures].[Total_ Quantaity]" caption="Total_ Quantaity" measure="1" displayFolder="" measureGroup="Fact_Sales" count="0"/>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75810185" createdVersion="5" refreshedVersion="8" minRefreshableVersion="3" recordCount="0" supportSubquery="1" supportAdvancedDrill="1" xr:uid="{4DB9A294-24C1-41BF-8C0C-9B9A8EC0068F}">
  <cacheSource type="external" connectionId="5"/>
  <cacheFields count="3">
    <cacheField name="[Dim_Customer].[City].[City]" caption="City" numFmtId="0" hierarchy="10" level="1">
      <sharedItems count="10">
        <s v="Cerritos"/>
        <s v="Fullerton"/>
        <s v="Gloucestershire"/>
        <s v="Liverpool"/>
        <s v="London"/>
        <s v="Milton Keynes"/>
        <s v="Sherman Oaks"/>
        <s v="Union City"/>
        <s v="Van Nuys"/>
        <s v="Woolston"/>
      </sharedItems>
    </cacheField>
    <cacheField name="[Measures].[Total Sales]" caption="Total Sales" numFmtId="0" hierarchy="33" level="32767"/>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0" memberValueDatatype="130" unbalanced="0"/>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2"/>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oneField="1">
      <fieldsUsage count="1">
        <fieldUsage x="1"/>
      </fieldsUsage>
    </cacheHierarchy>
    <cacheHierarchy uniqueName="[Measures].[Total_ Quantaity]" caption="Total_ Quantaity" measure="1" displayFolder="" measureGroup="Fact_Sales" count="0"/>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75810185" createdVersion="5" refreshedVersion="8" minRefreshableVersion="3" recordCount="0" supportSubquery="1" supportAdvancedDrill="1" xr:uid="{BD9FD8DA-0CD3-4186-BC20-4CBAAFADF9D6}">
  <cacheSource type="external" connectionId="5"/>
  <cacheFields count="4">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Measures].[Sales per Customer]" caption="Sales per Customer" numFmtId="0" hierarchy="37" level="32767"/>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3"/>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cacheHierarchy uniqueName="[Measures].[Total_ Quantaity]" caption="Total_ Quantaity" measure="1" displayFolder="" measureGroup="Fact_Sales" count="0"/>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oneField="1">
      <fieldsUsage count="1">
        <fieldUsage x="2"/>
      </fieldsUsage>
    </cacheHierarchy>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76273146" createdVersion="5" refreshedVersion="8" minRefreshableVersion="3" recordCount="0" supportSubquery="1" supportAdvancedDrill="1" xr:uid="{449FE611-FC7D-4678-9C18-F24D233C9243}">
  <cacheSource type="external" connectionId="5"/>
  <cacheFields count="5">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Dim_Product].[ProductName].[ProductName]" caption="ProductName" numFmtId="0" hierarchy="14" level="1">
      <sharedItems count="10">
        <s v="Mountain-200 Black, 38"/>
        <s v="Mountain-200 Black, 42"/>
        <s v="Mountain-200 Black, 46"/>
        <s v="Mountain-200 Silver, 42"/>
        <s v="Road-350-W Yellow, 40"/>
        <s v="Road-350-W Yellow, 42"/>
        <s v="Road-350-W Yellow, 48"/>
        <s v="Touring-1000 Blue, 50"/>
        <s v="Touring-1000 Blue, 60"/>
        <s v="Touring-1000 Yellow, 60"/>
      </sharedItems>
    </cacheField>
    <cacheField name="[Measures].[Total_ Quantaity]" caption="Total_ Quantaity" numFmtId="0" hierarchy="34" level="32767"/>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2"/>
      </fieldsUsage>
    </cacheHierarchy>
    <cacheHierarchy uniqueName="[Dim_Product].[Color]" caption="Color" attribute="1" defaultMemberUniqueName="[Dim_Product].[Color].[All]" allUniqueName="[Dim_Product].[Color].[All]" dimensionUniqueName="[Dim_Product]" displayFolder="" count="2" memberValueDatatype="130" unbalanced="0">
      <fieldsUsage count="2">
        <fieldUsage x="-1"/>
        <fieldUsage x="4"/>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cacheHierarchy uniqueName="[Measures].[Total_ Quantaity]" caption="Total_ Quantaity" measure="1" displayFolder="" measureGroup="Fact_Sales" count="0" oneField="1">
      <fieldsUsage count="1">
        <fieldUsage x="3"/>
      </fieldsUsage>
    </cacheHierarchy>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76736108" createdVersion="5" refreshedVersion="8" minRefreshableVersion="3" recordCount="0" supportSubquery="1" supportAdvancedDrill="1" xr:uid="{366BB754-5B9F-4C90-8DF5-31E845116F2D}">
  <cacheSource type="external" connectionId="5"/>
  <cacheFields count="7">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Dim_Product].[ProductName].[ProductName]" caption="ProductName" numFmtId="0" hierarchy="14" level="1">
      <sharedItems count="10">
        <s v="Mountain-200 Black, 38"/>
        <s v="Mountain-200 Black, 42"/>
        <s v="Mountain-200 Black, 46"/>
        <s v="Mountain-200 Silver, 42"/>
        <s v="Road-350-W Yellow, 40"/>
        <s v="Road-350-W Yellow, 42"/>
        <s v="Road-350-W Yellow, 48"/>
        <s v="Touring-1000 Blue, 50"/>
        <s v="Touring-1000 Blue, 60"/>
        <s v="Touring-1000 Yellow, 60"/>
      </sharedItems>
    </cacheField>
    <cacheField name="[Dim_Product].[Price Category Classify].[Price Category Classify]" caption="Price Category Classify" numFmtId="0" hierarchy="20" level="1">
      <sharedItems count="3">
        <s v="High"/>
        <s v="Low"/>
        <s v="Medium"/>
      </sharedItems>
    </cacheField>
    <cacheField name="[Measures].[Total Sales]" caption="Total Sales" numFmtId="0" hierarchy="33" level="32767"/>
    <cacheField name="[Measures].[Total_ Quantaity]" caption="Total_ Quantaity" numFmtId="0" hierarchy="34" level="32767"/>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2"/>
      </fieldsUsage>
    </cacheHierarchy>
    <cacheHierarchy uniqueName="[Dim_Product].[Color]" caption="Color" attribute="1" defaultMemberUniqueName="[Dim_Product].[Color].[All]" allUniqueName="[Dim_Product].[Color].[All]" dimensionUniqueName="[Dim_Product]" displayFolder="" count="2" memberValueDatatype="130" unbalanced="0">
      <fieldsUsage count="2">
        <fieldUsage x="-1"/>
        <fieldUsage x="6"/>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fieldsUsage count="2">
        <fieldUsage x="-1"/>
        <fieldUsage x="3"/>
      </fieldsUsage>
    </cacheHierarchy>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oneField="1">
      <fieldsUsage count="1">
        <fieldUsage x="4"/>
      </fieldsUsage>
    </cacheHierarchy>
    <cacheHierarchy uniqueName="[Measures].[Total_ Quantaity]" caption="Total_ Quantaity" measure="1" displayFolder="" measureGroup="Fact_Sales" count="0" oneField="1">
      <fieldsUsage count="1">
        <fieldUsage x="5"/>
      </fieldsUsage>
    </cacheHierarchy>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77083332" createdVersion="5" refreshedVersion="8" minRefreshableVersion="3" recordCount="0" supportSubquery="1" supportAdvancedDrill="1" xr:uid="{ED90A7C6-4B91-445E-9719-1B4BE181E0E6}">
  <cacheSource type="external" connectionId="5"/>
  <cacheFields count="5">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Dim_Product].[ProductName].[ProductName]" caption="ProductName" numFmtId="0" hierarchy="14" level="1">
      <sharedItems count="10">
        <s v="Mountain-200 Black, 38"/>
        <s v="Mountain-200 Black, 42"/>
        <s v="Mountain-200 Black, 46"/>
        <s v="Mountain-200 Silver, 42"/>
        <s v="Road-350-W Yellow, 40"/>
        <s v="Road-350-W Yellow, 42"/>
        <s v="Road-350-W Yellow, 48"/>
        <s v="Touring-1000 Blue, 50"/>
        <s v="Touring-1000 Blue, 60"/>
        <s v="Touring-1000 Yellow, 60"/>
      </sharedItems>
    </cacheField>
    <cacheField name="[Dim_Product].[Color].[Color]" caption="Color" numFmtId="0" hierarchy="15" level="1">
      <sharedItems count="9">
        <s v="Black"/>
        <s v="Blue"/>
        <s v="Multi"/>
        <s v="Not Specified"/>
        <s v="Others"/>
        <s v="Silver"/>
        <s v="Silver/Black"/>
        <s v="White"/>
        <s v="Yellow"/>
      </sharedItems>
    </cacheField>
    <cacheField name="[Measures].[Total Sales]" caption="Total Sales" numFmtId="0" hierarchy="33" level="32767"/>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2"/>
      </fieldsUsage>
    </cacheHierarchy>
    <cacheHierarchy uniqueName="[Dim_Product].[Color]" caption="Color" attribute="1" defaultMemberUniqueName="[Dim_Product].[Color].[All]" allUniqueName="[Dim_Product].[Color].[All]" dimensionUniqueName="[Dim_Product]" displayFolder="" count="2" memberValueDatatype="130" unbalanced="0">
      <fieldsUsage count="2">
        <fieldUsage x="-1"/>
        <fieldUsage x="3"/>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oneField="1">
      <fieldsUsage count="1">
        <fieldUsage x="4"/>
      </fieldsUsage>
    </cacheHierarchy>
    <cacheHierarchy uniqueName="[Measures].[Total_ Quantaity]" caption="Total_ Quantaity" measure="1" displayFolder="" measureGroup="Fact_Sales" count="0"/>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77546293" createdVersion="5" refreshedVersion="8" minRefreshableVersion="3" recordCount="0" supportSubquery="1" supportAdvancedDrill="1" xr:uid="{9C9C6788-5D2E-4A2A-B0B8-8B3D74D64CBF}">
  <cacheSource type="external" connectionId="5"/>
  <cacheFields count="7">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Dim_Product].[ProductName].[ProductName]" caption="ProductName" numFmtId="0" hierarchy="14" level="1">
      <sharedItems count="10">
        <s v="Mountain-200 Black, 38"/>
        <s v="Mountain-200 Black, 42"/>
        <s v="Mountain-200 Black, 46"/>
        <s v="Mountain-200 Silver, 42"/>
        <s v="Road-350-W Yellow, 40"/>
        <s v="Road-350-W Yellow, 42"/>
        <s v="Road-350-W Yellow, 48"/>
        <s v="Touring-1000 Blue, 50"/>
        <s v="Touring-1000 Blue, 60"/>
        <s v="Touring-1000 Yellow, 60"/>
      </sharedItems>
    </cacheField>
    <cacheField name="[D_Date].[Year].[Year]" caption="Year" numFmtId="0" hierarchy="1" level="1">
      <sharedItems containsSemiMixedTypes="0" containsString="0" containsNumber="1" containsInteger="1" minValue="2008" maxValue="2008" count="1">
        <n v="2008"/>
      </sharedItems>
      <extLst>
        <ext xmlns:x15="http://schemas.microsoft.com/office/spreadsheetml/2010/11/main" uri="{4F2E5C28-24EA-4eb8-9CBF-B6C8F9C3D259}">
          <x15:cachedUniqueNames>
            <x15:cachedUniqueName index="0" name="[D_Date].[Year].&amp;[2008]"/>
          </x15:cachedUniqueNames>
        </ext>
      </extLst>
    </cacheField>
    <cacheField name="[Measures].[Total Sales]" caption="Total Sales" numFmtId="0" hierarchy="33" level="32767"/>
    <cacheField name="[Measures].[Total_ Quantaity]" caption="Total_ Quantaity" numFmtId="0" hierarchy="34" level="32767"/>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2" memberValueDatatype="20" unbalanced="0">
      <fieldsUsage count="2">
        <fieldUsage x="-1"/>
        <fieldUsage x="3"/>
      </fieldsUsage>
    </cacheHierarchy>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2"/>
      </fieldsUsage>
    </cacheHierarchy>
    <cacheHierarchy uniqueName="[Dim_Product].[Color]" caption="Color" attribute="1" defaultMemberUniqueName="[Dim_Product].[Color].[All]" allUniqueName="[Dim_Product].[Color].[All]" dimensionUniqueName="[Dim_Product]" displayFolder="" count="2" memberValueDatatype="130" unbalanced="0">
      <fieldsUsage count="2">
        <fieldUsage x="-1"/>
        <fieldUsage x="6"/>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oneField="1">
      <fieldsUsage count="1">
        <fieldUsage x="4"/>
      </fieldsUsage>
    </cacheHierarchy>
    <cacheHierarchy uniqueName="[Measures].[Total_ Quantaity]" caption="Total_ Quantaity" measure="1" displayFolder="" measureGroup="Fact_Sales" count="0" oneField="1">
      <fieldsUsage count="1">
        <fieldUsage x="5"/>
      </fieldsUsage>
    </cacheHierarchy>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78125001" createdVersion="5" refreshedVersion="8" minRefreshableVersion="3" recordCount="0" supportSubquery="1" supportAdvancedDrill="1" xr:uid="{A5527E66-3AFC-4E3E-AE9E-7C06B3B980ED}">
  <cacheSource type="external" connectionId="5"/>
  <cacheFields count="7">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Dim_Product].[ProductName].[ProductName]" caption="ProductName" numFmtId="0" hierarchy="14" level="1">
      <sharedItems count="10">
        <s v="Mountain-200 Black, 38"/>
        <s v="Mountain-200 Black, 42"/>
        <s v="Mountain-200 Black, 46"/>
        <s v="Mountain-200 Silver, 42"/>
        <s v="Road-350-W Yellow, 40"/>
        <s v="Road-350-W Yellow, 42"/>
        <s v="Road-350-W Yellow, 48"/>
        <s v="Touring-1000 Blue, 50"/>
        <s v="Touring-1000 Blue, 60"/>
        <s v="Touring-1000 Yellow, 60"/>
      </sharedItems>
    </cacheField>
    <cacheField name="[Measures].[Total Sales]" caption="Total Sales" numFmtId="0" hierarchy="33" level="32767"/>
    <cacheField name="[Measures].[Total_ Quantaity]" caption="Total_ Quantaity" numFmtId="0" hierarchy="34" level="32767"/>
    <cacheField name="[D_Date].[Month_name].[Month_name]" caption="Month_name" numFmtId="0" hierarchy="3" level="1">
      <sharedItems count="1">
        <s v="June"/>
      </sharedItems>
    </cacheField>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2" memberValueDatatype="130" unbalanced="0">
      <fieldsUsage count="2">
        <fieldUsage x="-1"/>
        <fieldUsage x="5"/>
      </fieldsUsage>
    </cacheHierarchy>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2"/>
      </fieldsUsage>
    </cacheHierarchy>
    <cacheHierarchy uniqueName="[Dim_Product].[Color]" caption="Color" attribute="1" defaultMemberUniqueName="[Dim_Product].[Color].[All]" allUniqueName="[Dim_Product].[Color].[All]" dimensionUniqueName="[Dim_Product]" displayFolder="" count="2" memberValueDatatype="130" unbalanced="0">
      <fieldsUsage count="2">
        <fieldUsage x="-1"/>
        <fieldUsage x="6"/>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oneField="1">
      <fieldsUsage count="1">
        <fieldUsage x="3"/>
      </fieldsUsage>
    </cacheHierarchy>
    <cacheHierarchy uniqueName="[Measures].[Total_ Quantaity]" caption="Total_ Quantaity" measure="1" displayFolder="" measureGroup="Fact_Sales" count="0" oneField="1">
      <fieldsUsage count="1">
        <fieldUsage x="4"/>
      </fieldsUsage>
    </cacheHierarchy>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78472225" createdVersion="5" refreshedVersion="8" minRefreshableVersion="3" recordCount="0" supportSubquery="1" supportAdvancedDrill="1" xr:uid="{E0F9C948-E4D5-4937-849B-DE3D07B77BAD}">
  <cacheSource type="external" connectionId="5"/>
  <cacheFields count="4">
    <cacheField name="[Dim_Customer].[City].[City]" caption="City" numFmtId="0" hierarchy="10" level="1">
      <sharedItems count="10">
        <s v="Cerritos"/>
        <s v="Fullerton"/>
        <s v="Gloucestershire"/>
        <s v="Liverpool"/>
        <s v="London"/>
        <s v="Milton Keynes"/>
        <s v="Sherman Oaks"/>
        <s v="Union City"/>
        <s v="Van Nuys"/>
        <s v="Woolston"/>
      </sharedItems>
    </cacheField>
    <cacheField name="[Measures].[Total Sales]" caption="Total Sales" numFmtId="0" hierarchy="33" level="32767"/>
    <cacheField name="[Dim_Customer].[StateProvince].[StateProvince]" caption="StateProvince" numFmtId="0" hierarchy="11" level="1">
      <sharedItems count="6">
        <s v="California"/>
        <s v="Colorado"/>
        <s v="England"/>
        <s v="Nevada"/>
        <s v="New Mexico"/>
        <s v="Utah"/>
      </sharedItems>
    </cacheField>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0" memberValueDatatype="130" unbalanced="0"/>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fieldsUsage count="2">
        <fieldUsage x="-1"/>
        <fieldUsage x="2"/>
      </fieldsUsage>
    </cacheHierarchy>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3"/>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oneField="1">
      <fieldsUsage count="1">
        <fieldUsage x="1"/>
      </fieldsUsage>
    </cacheHierarchy>
    <cacheHierarchy uniqueName="[Measures].[Total_ Quantaity]" caption="Total_ Quantaity" measure="1" displayFolder="" measureGroup="Fact_Sales" count="0"/>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79398148" createdVersion="5" refreshedVersion="8" minRefreshableVersion="3" recordCount="0" supportSubquery="1" supportAdvancedDrill="1" xr:uid="{7ED309A6-67F6-470C-B461-BAA71DB7856A}">
  <cacheSource type="external" connectionId="5"/>
  <cacheFields count="4">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Measures].[Total_ Quantaity]" caption="Total_ Quantaity" numFmtId="0" hierarchy="34" level="32767"/>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3"/>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cacheHierarchy uniqueName="[Measures].[Total_ Quantaity]" caption="Total_ Quantaity" measure="1" displayFolder="" measureGroup="Fact_Sales" count="0" oneField="1">
      <fieldsUsage count="1">
        <fieldUsage x="2"/>
      </fieldsUsage>
    </cacheHierarchy>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79976849" createdVersion="5" refreshedVersion="8" minRefreshableVersion="3" recordCount="0" supportSubquery="1" supportAdvancedDrill="1" xr:uid="{6DBAD0E6-E6C4-4C82-846F-0A3EB2DED936}">
  <cacheSource type="external" connectionId="5"/>
  <cacheFields count="5">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Dim_Customer].[CountryRegion].[CountryRegion]" caption="CountryRegion" numFmtId="0" hierarchy="12" level="1">
      <sharedItems count="2">
        <s v="United Kingdom"/>
        <s v="United States"/>
      </sharedItems>
    </cacheField>
    <cacheField name="[Measures].[Total Sales]" caption="Total Sales" numFmtId="0" hierarchy="33" level="32767"/>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2" memberValueDatatype="130" unbalanced="0">
      <fieldsUsage count="2">
        <fieldUsage x="-1"/>
        <fieldUsage x="2"/>
      </fieldsUsage>
    </cacheHierarchy>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4"/>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oneField="1">
      <fieldsUsage count="1">
        <fieldUsage x="3"/>
      </fieldsUsage>
    </cacheHierarchy>
    <cacheHierarchy uniqueName="[Measures].[Total_ Quantaity]" caption="Total_ Quantaity" measure="1" displayFolder="" measureGroup="Fact_Sales" count="0"/>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80092595" createdVersion="5" refreshedVersion="8" minRefreshableVersion="3" recordCount="0" supportSubquery="1" supportAdvancedDrill="1" xr:uid="{31A7718D-4245-4D50-ABEA-657A47938256}">
  <cacheSource type="external" connectionId="5"/>
  <cacheFields count="4">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Measures].[Total Sales]" caption="Total Sales" numFmtId="0" hierarchy="33" level="32767"/>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3"/>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oneField="1">
      <fieldsUsage count="1">
        <fieldUsage x="2"/>
      </fieldsUsage>
    </cacheHierarchy>
    <cacheHierarchy uniqueName="[Measures].[Total_ Quantaity]" caption="Total_ Quantaity" measure="1" displayFolder="" measureGroup="Fact_Sales" count="0"/>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80324072" createdVersion="5" refreshedVersion="8" minRefreshableVersion="3" recordCount="0" supportSubquery="1" supportAdvancedDrill="1" xr:uid="{2AFFA141-5485-46A1-B7CD-836E1DCCEED1}">
  <cacheSource type="external" connectionId="5"/>
  <cacheFields count="4">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Measures].[Total_ Quantaity]" caption="Total_ Quantaity" numFmtId="0" hierarchy="34" level="32767"/>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3"/>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cacheHierarchy uniqueName="[Measures].[Total_ Quantaity]" caption="Total_ Quantaity" measure="1" displayFolder="" measureGroup="Fact_Sales" count="0" oneField="1">
      <fieldsUsage count="1">
        <fieldUsage x="2"/>
      </fieldsUsage>
    </cacheHierarchy>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80324072" createdVersion="5" refreshedVersion="8" minRefreshableVersion="3" recordCount="0" supportSubquery="1" supportAdvancedDrill="1" xr:uid="{3689A89D-87F0-4D5E-B767-1978477B2B86}">
  <cacheSource type="external" connectionId="5"/>
  <cacheFields count="4">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Measures].[Customer Count]" caption="Customer Count" numFmtId="0" hierarchy="35" level="32767"/>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3"/>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cacheHierarchy uniqueName="[Measures].[Total_ Quantaity]" caption="Total_ Quantaity" measure="1" displayFolder="" measureGroup="Fact_Sales" count="0"/>
    <cacheHierarchy uniqueName="[Measures].[Customer Count]" caption="Customer Count" measure="1" displayFolder="" measureGroup="Fact_Sales" count="0" oneField="1">
      <fieldsUsage count="1">
        <fieldUsage x="2"/>
      </fieldsUsage>
    </cacheHierarchy>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1180439818" createdVersion="5" refreshedVersion="8" minRefreshableVersion="3" recordCount="0" supportSubquery="1" supportAdvancedDrill="1" xr:uid="{C8B58382-5F4A-4E39-A9F8-2901BDB3C1FB}">
  <cacheSource type="external" connectionId="5"/>
  <cacheFields count="4">
    <cacheField name="[Dim_Customer].[City].[City]" caption="City" numFmtId="0" hierarchy="10" level="1">
      <sharedItems count="10">
        <s v="Cerritos"/>
        <s v="Fullerton"/>
        <s v="Gloucestershire"/>
        <s v="Liverpool"/>
        <s v="London"/>
        <s v="Milton Keynes"/>
        <s v="Sherman Oaks"/>
        <s v="Union City"/>
        <s v="Van Nuys"/>
        <s v="Woolston"/>
      </sharedItems>
    </cacheField>
    <cacheField name="[Dim_Customer].[FullName].[FullName]" caption="FullName" numFmtId="0" hierarchy="8" level="1">
      <sharedItems count="10">
        <s v="Catherine Abel"/>
        <s v="Christopher Beck"/>
        <s v="Frank Campbell"/>
        <s v="Jeffrey Kurtz"/>
        <s v="Jon Grande"/>
        <s v="Kevin Liu"/>
        <s v="Krishna Sunkammurali"/>
        <s v="Pamala Kotc"/>
        <s v="Rebecca Laszlo"/>
        <s v="Terry Eminhizer"/>
      </sharedItems>
    </cacheField>
    <cacheField name="[Measures].[Product Count]" caption="Product Count" numFmtId="0" hierarchy="36" level="32767"/>
    <cacheField name="[Dim_Product].[Color].[Color]" caption="Color" numFmtId="0" hierarchy="15" level="1">
      <sharedItems containsSemiMixedTypes="0" containsNonDate="0" containsString="0"/>
    </cacheField>
  </cacheFields>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2" memberValueDatatype="130" unbalanced="0">
      <fieldsUsage count="2">
        <fieldUsage x="-1"/>
        <fieldUsage x="1"/>
      </fieldsUsage>
    </cacheHierarchy>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fieldsUsage count="2">
        <fieldUsage x="-1"/>
        <fieldUsage x="0"/>
      </fieldsUsage>
    </cacheHierarchy>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fieldsUsage count="2">
        <fieldUsage x="-1"/>
        <fieldUsage x="3"/>
      </fieldsUsage>
    </cacheHierarchy>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cacheHierarchy uniqueName="[Measures].[Total_ Quantaity]" caption="Total_ Quantaity" measure="1" displayFolder="" measureGroup="Fact_Sales" count="0"/>
    <cacheHierarchy uniqueName="[Measures].[Customer Count]" caption="Customer Count" measure="1" displayFolder="" measureGroup="Fact_Sales" count="0"/>
    <cacheHierarchy uniqueName="[Measures].[Product Count]" caption="Product Count" measure="1" displayFolder="" measureGroup="Fact_Sales" count="0" oneField="1">
      <fieldsUsage count="1">
        <fieldUsage x="2"/>
      </fieldsUsage>
    </cacheHierarchy>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dimensions count="5">
    <dimension name="D_Date" uniqueName="[D_Date]" caption="D_Date"/>
    <dimension name="Dim_Customer" uniqueName="[Dim_Customer]" caption="Dim_Customer"/>
    <dimension name="Dim_Product" uniqueName="[Dim_Product]" caption="Dim_Product"/>
    <dimension name="Fact_Sales" uniqueName="[Fact_Sales]" caption="Fact_Sales"/>
    <dimension measure="1" name="Measures" uniqueName="[Measures]" caption="Measures"/>
  </dimensions>
  <measureGroups count="4">
    <measureGroup name="D_Date" caption="D_Date"/>
    <measureGroup name="Dim_Customer" caption="Dim_Customer"/>
    <measureGroup name="Dim_Product" caption="Dim_Product"/>
    <measureGroup name="Fact_Sales" caption="Fact_Sales"/>
  </measureGroups>
  <maps count="7">
    <map measureGroup="0" dimension="0"/>
    <map measureGroup="1" dimension="1"/>
    <map measureGroup="2" dimension="2"/>
    <map measureGroup="3" dimension="0"/>
    <map measureGroup="3" dimension="1"/>
    <map measureGroup="3" dimension="2"/>
    <map measureGroup="3"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5981.830771527777" createdVersion="3" refreshedVersion="8" minRefreshableVersion="3" recordCount="0" supportSubquery="1" supportAdvancedDrill="1" xr:uid="{D36D4BD8-68DA-49A6-9DA7-087406FBC70B}">
  <cacheSource type="external" connectionId="5">
    <extLst>
      <ext xmlns:x14="http://schemas.microsoft.com/office/spreadsheetml/2009/9/main" uri="{F057638F-6D5F-4e77-A914-E7F072B9BCA8}">
        <x14:sourceConnection name="ThisWorkbookDataModel"/>
      </ext>
    </extLst>
  </cacheSource>
  <cacheFields count="0"/>
  <cacheHierarchies count="43">
    <cacheHierarchy uniqueName="[D_Date].[Order_Date]" caption="Order_Date" attribute="1" time="1" defaultMemberUniqueName="[D_Date].[Order_Date].[All]" allUniqueName="[D_Date].[Order_Date].[All]" dimensionUniqueName="[D_Date]" displayFolder="" count="0" memberValueDatatype="7" unbalanced="0"/>
    <cacheHierarchy uniqueName="[D_Date].[Year]" caption="Year" attribute="1" defaultMemberUniqueName="[D_Date].[Year].[All]" allUniqueName="[D_Date].[Year].[All]" dimensionUniqueName="[D_Date]" displayFolder="" count="0" memberValueDatatype="20" unbalanced="0"/>
    <cacheHierarchy uniqueName="[D_Date].[Year_number]" caption="Year_number" attribute="1" defaultMemberUniqueName="[D_Date].[Year_number].[All]" allUniqueName="[D_Date].[Year_number].[All]" dimensionUniqueName="[D_Date]" displayFolder="" count="0" memberValueDatatype="20" unbalanced="0"/>
    <cacheHierarchy uniqueName="[D_Date].[Month_name]" caption="Month_name" attribute="1" defaultMemberUniqueName="[D_Date].[Month_name].[All]" allUniqueName="[D_Date].[Month_name].[All]" dimensionUniqueName="[D_Date]" displayFolder="" count="0" memberValueDatatype="130" unbalanced="0"/>
    <cacheHierarchy uniqueName="[D_Date].[Quarter]" caption="Quarter" attribute="1" defaultMemberUniqueName="[D_Date].[Quarter].[All]" allUniqueName="[D_Date].[Quarter].[All]" dimensionUniqueName="[D_Date]" displayFolder="" count="0" memberValueDatatype="130" unbalanced="0"/>
    <cacheHierarchy uniqueName="[D_Date].[Week Number]" caption="Week Number" attribute="1" defaultMemberUniqueName="[D_Date].[Week Number].[All]" allUniqueName="[D_Date].[Week Number].[All]" dimensionUniqueName="[D_Date]" displayFolder="" count="0" memberValueDatatype="20" unbalanced="0"/>
    <cacheHierarchy uniqueName="[D_Date].[Weekday]" caption="Weekday" attribute="1" defaultMemberUniqueName="[D_Date].[Weekday].[All]" allUniqueName="[D_Date].[Weekday].[All]" dimensionUniqueName="[D_Date]" displayFolder="" count="0" memberValueDatatype="130" unbalanced="0"/>
    <cacheHierarchy uniqueName="[Dim_Customer].[CustomerID]" caption="CustomerID" attribute="1" defaultMemberUniqueName="[Dim_Customer].[CustomerID].[All]" allUniqueName="[Dim_Customer].[CustomerID].[All]" dimensionUniqueName="[Dim_Customer]" displayFolder="" count="0" memberValueDatatype="20" unbalanced="0"/>
    <cacheHierarchy uniqueName="[Dim_Customer].[FullName]" caption="FullName" attribute="1" defaultMemberUniqueName="[Dim_Customer].[FullName].[All]" allUniqueName="[Dim_Customer].[FullName].[All]" dimensionUniqueName="[Dim_Customer]" displayFolder="" count="0" memberValueDatatype="130" unbalanced="0"/>
    <cacheHierarchy uniqueName="[Dim_Customer].[EmailAddress]" caption="EmailAddress" attribute="1" defaultMemberUniqueName="[Dim_Customer].[EmailAddress].[All]" allUniqueName="[Dim_Customer].[EmailAddress].[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StateProvince]" caption="StateProvince" attribute="1" defaultMemberUniqueName="[Dim_Customer].[StateProvince].[All]" allUniqueName="[Dim_Customer].[StateProvince].[All]" dimensionUniqueName="[Dim_Customer]" displayFolder="" count="2" memberValueDatatype="130" unbalanced="0"/>
    <cacheHierarchy uniqueName="[Dim_Customer].[CountryRegion]" caption="CountryRegion" attribute="1" defaultMemberUniqueName="[Dim_Customer].[CountryRegion].[All]" allUniqueName="[Dim_Customer].[CountryRegion].[All]" dimensionUniqueName="[Dim_Customer]" displayFolder="" count="0" memberValueDatatype="13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Color]" caption="Color" attribute="1" defaultMemberUniqueName="[Dim_Product].[Color].[All]" allUniqueName="[Dim_Product].[Color].[All]" dimensionUniqueName="[Dim_Product]" displayFolder="" count="2" memberValueDatatype="130" unbalanced="0"/>
    <cacheHierarchy uniqueName="[Dim_Product].[Size]" caption="Size" attribute="1" defaultMemberUniqueName="[Dim_Product].[Size].[All]" allUniqueName="[Dim_Product].[Size].[All]" dimensionUniqueName="[Dim_Product]" displayFolder="" count="0" memberValueDatatype="130"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Category]" caption="Category" attribute="1" defaultMemberUniqueName="[Dim_Product].[Category].[All]" allUniqueName="[Dim_Product].[Category].[All]" dimensionUniqueName="[Dim_Product]" displayFolder="" count="0" memberValueDatatype="130" unbalanced="0"/>
    <cacheHierarchy uniqueName="[Dim_Product].[Model]" caption="Model" attribute="1" defaultMemberUniqueName="[Dim_Product].[Model].[All]" allUniqueName="[Dim_Product].[Model].[All]" dimensionUniqueName="[Dim_Product]" displayFolder="" count="0" memberValueDatatype="130" unbalanced="0"/>
    <cacheHierarchy uniqueName="[Dim_Product].[Price Category Classify]" caption="Price Category Classify" attribute="1" defaultMemberUniqueName="[Dim_Product].[Price Category Classify].[All]" allUniqueName="[Dim_Product].[Price Category Classify].[All]" dimensionUniqueName="[Dim_Product]" displayFolder="" count="2" memberValueDatatype="130" unbalanced="0"/>
    <cacheHierarchy uniqueName="[Fact_Sales].[SalesOrderID]" caption="SalesOrderID" attribute="1" defaultMemberUniqueName="[Fact_Sales].[SalesOrderID].[All]" allUniqueName="[Fact_Sales].[SalesOrderID].[All]" dimensionUniqueName="[Fact_Sales]" displayFolder="" count="0" memberValueDatatype="20" unbalanced="0"/>
    <cacheHierarchy uniqueName="[Fact_Sales].[ProductID]" caption="ProductID" attribute="1" defaultMemberUniqueName="[Fact_Sales].[ProductID].[All]" allUniqueName="[Fact_Sales].[ProductID].[All]" dimensionUniqueName="[Fact_Sales]" displayFolder="" count="0" memberValueDatatype="20" unbalanced="0"/>
    <cacheHierarchy uniqueName="[Fact_Sales].[CustomerID]" caption="CustomerID" attribute="1" defaultMemberUniqueName="[Fact_Sales].[CustomerID].[All]" allUniqueName="[Fact_Sales].[CustomerID].[All]" dimensionUniqueName="[Fact_Sales]" displayFolder="" count="0" memberValueDatatype="20" unbalanced="0"/>
    <cacheHierarchy uniqueName="[Fact_Sales].[OrderDate]" caption="OrderDate" attribute="1" time="1" defaultMemberUniqueName="[Fact_Sales].[OrderDate].[All]" allUniqueName="[Fact_Sales].[OrderDate].[All]" dimensionUniqueName="[Fact_Sales]" displayFolder="" count="0" memberValueDatatype="7" unbalanced="0"/>
    <cacheHierarchy uniqueName="[Fact_Sales].[OrderQty]" caption="OrderQty" attribute="1" defaultMemberUniqueName="[Fact_Sales].[OrderQty].[All]" allUniqueName="[Fact_Sales].[OrderQty].[All]" dimensionUniqueName="[Fact_Sales]" displayFolder="" count="0" memberValueDatatype="20" unbalanced="0"/>
    <cacheHierarchy uniqueName="[Fact_Sales].[UnitPrice]" caption="UnitPrice" attribute="1" defaultMemberUniqueName="[Fact_Sales].[UnitPrice].[All]" allUniqueName="[Fact_Sales].[UnitPrice].[All]" dimensionUniqueName="[Fact_Sales]" displayFolder="" count="0" memberValueDatatype="5" unbalanced="0"/>
    <cacheHierarchy uniqueName="[Fact_Sales].[TotalAmount]" caption="TotalAmount" attribute="1" defaultMemberUniqueName="[Fact_Sales].[TotalAmount].[All]" allUniqueName="[Fact_Sales].[TotalAmount].[All]" dimensionUniqueName="[Fact_Sales]" displayFolder="" count="0" memberValueDatatype="5" unbalanced="0"/>
    <cacheHierarchy uniqueName="[Measures].[Sum of CustomerID]" caption="Sum of CustomerID" measure="1" displayFolder="" measureGroup="Dim_Customer" count="0">
      <extLst>
        <ext xmlns:x15="http://schemas.microsoft.com/office/spreadsheetml/2010/11/main" uri="{B97F6D7D-B522-45F9-BDA1-12C45D357490}">
          <x15:cacheHierarchy aggregatedColumn="7"/>
        </ext>
      </extLst>
    </cacheHierarchy>
    <cacheHierarchy uniqueName="[Measures].[Distinct Count of CustomerID]" caption="Distinct Count of CustomerID" measure="1" displayFolder="" measureGroup="Dim_Customer" count="0">
      <extLst>
        <ext xmlns:x15="http://schemas.microsoft.com/office/spreadsheetml/2010/11/main" uri="{B97F6D7D-B522-45F9-BDA1-12C45D357490}">
          <x15:cacheHierarchy aggregatedColumn="7"/>
        </ext>
      </extLst>
    </cacheHierarchy>
    <cacheHierarchy uniqueName="[Measures].[Sum of Year]" caption="Sum of Year" measure="1" displayFolder="" measureGroup="D_Date" count="0">
      <extLst>
        <ext xmlns:x15="http://schemas.microsoft.com/office/spreadsheetml/2010/11/main" uri="{B97F6D7D-B522-45F9-BDA1-12C45D357490}">
          <x15:cacheHierarchy aggregatedColumn="1"/>
        </ext>
      </extLst>
    </cacheHierarchy>
    <cacheHierarchy uniqueName="[Measures].[Sum of Year_number]" caption="Sum of Year_number" measure="1" displayFolder="" measureGroup="D_Date" count="0">
      <extLst>
        <ext xmlns:x15="http://schemas.microsoft.com/office/spreadsheetml/2010/11/main" uri="{B97F6D7D-B522-45F9-BDA1-12C45D357490}">
          <x15:cacheHierarchy aggregatedColumn="2"/>
        </ext>
      </extLst>
    </cacheHierarchy>
    <cacheHierarchy uniqueName="[Measures].[Sum of Week Number]" caption="Sum of Week Number" measure="1" displayFolder="" measureGroup="D_Date" count="0">
      <extLst>
        <ext xmlns:x15="http://schemas.microsoft.com/office/spreadsheetml/2010/11/main" uri="{B97F6D7D-B522-45F9-BDA1-12C45D357490}">
          <x15:cacheHierarchy aggregatedColumn="5"/>
        </ext>
      </extLst>
    </cacheHierarchy>
    <cacheHierarchy uniqueName="[Measures].[Total Sales]" caption="Total Sales" measure="1" displayFolder="" measureGroup="Fact_Sales" count="0"/>
    <cacheHierarchy uniqueName="[Measures].[Total_ Quantaity]" caption="Total_ Quantaity" measure="1" displayFolder="" measureGroup="Fact_Sales" count="0"/>
    <cacheHierarchy uniqueName="[Measures].[Customer Count]" caption="Customer Count" measure="1" displayFolder="" measureGroup="Fact_Sales" count="0"/>
    <cacheHierarchy uniqueName="[Measures].[Product Count]" caption="Product Count" measure="1" displayFolder="" measureGroup="Fact_Sales" count="0"/>
    <cacheHierarchy uniqueName="[Measures].[Sales per Customer]" caption="Sales per Customer" measure="1" displayFolder="" measureGroup="Fact_Sales" count="0"/>
    <cacheHierarchy uniqueName="[Measures].[__XL_Count D_Date]" caption="__XL_Count D_Date" measure="1" displayFolder="" measureGroup="D_Date" count="0" hidden="1"/>
    <cacheHierarchy uniqueName="[Measures].[__XL_Count Dim_Product]" caption="__XL_Count Dim_Product" measure="1" displayFolder="" measureGroup="Dim_Product" count="0" hidden="1"/>
    <cacheHierarchy uniqueName="[Measures].[__XL_Count Dim_Customer]" caption="__XL_Count Dim_Customer" measure="1" displayFolder="" measureGroup="Dim_Customer" count="0" hidden="1"/>
    <cacheHierarchy uniqueName="[Measures].[__XL_Count Fact_Sales]" caption="__XL_Count Fact_Sales" measure="1" displayFolder="" measureGroup="Fact_Sal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954191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61A3BD-7DB6-4273-858F-4B6A231D9BCA}" name="PivotTable12" cacheId="0" applyNumberFormats="0" applyBorderFormats="0" applyFontFormats="0" applyPatternFormats="0" applyAlignmentFormats="0" applyWidthHeightFormats="1" dataCaption="Values" tag="27b221fe-432a-425e-b69f-1ad23591f675" updatedVersion="8" minRefreshableVersion="3" useAutoFormatting="1" subtotalHiddenItems="1" itemPrintTitles="1" createdVersion="5" indent="0" outline="1" outlineData="1" multipleFieldFilters="0" chartFormat="10" rowHeaderCaption="ProductName">
  <location ref="T4:U15"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11">
    <i>
      <x v="8"/>
    </i>
    <i>
      <x v="1"/>
    </i>
    <i>
      <x v="6"/>
    </i>
    <i>
      <x/>
    </i>
    <i>
      <x v="9"/>
    </i>
    <i>
      <x v="7"/>
    </i>
    <i>
      <x v="3"/>
    </i>
    <i>
      <x v="4"/>
    </i>
    <i>
      <x v="2"/>
    </i>
    <i>
      <x v="5"/>
    </i>
    <i t="grand">
      <x/>
    </i>
  </rowItems>
  <colItems count="1">
    <i/>
  </colItems>
  <dataFields count="1">
    <dataField fld="3"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2" iMeasureHier="33">
      <autoFilter ref="A1">
        <filterColumn colId="0">
          <top10 val="10" filterVal="10"/>
        </filterColumn>
      </autoFilter>
    </filter>
    <filter fld="1" type="count" id="3" iMeasureHier="34">
      <autoFilter ref="A1">
        <filterColumn colId="0">
          <top10 val="10" filterVal="10"/>
        </filterColumn>
      </autoFilter>
    </filter>
    <filter fld="2" type="count" id="4" iMeasureHier="33">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81888D-C70A-45E4-B253-68944DBA1BB6}" name="PivotTable8" cacheId="13" applyNumberFormats="0" applyBorderFormats="0" applyFontFormats="0" applyPatternFormats="0" applyAlignmentFormats="0" applyWidthHeightFormats="1" dataCaption="Values" tag="ced71ac6-f89d-45e9-8498-239ada495aee" updatedVersion="8" minRefreshableVersion="3" useAutoFormatting="1" subtotalHiddenItems="1" itemPrintTitles="1" createdVersion="5" indent="0" outline="1" outlineData="1" multipleFieldFilters="0" rowHeaderCaption="CountaryRegoin">
  <location ref="P4:P5"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3" iMeasureHier="3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126450-E2CE-4DE9-BA4E-2D954B7911AA}" name="PivotTable2" cacheId="8" applyNumberFormats="0" applyBorderFormats="0" applyFontFormats="0" applyPatternFormats="0" applyAlignmentFormats="0" applyWidthHeightFormats="1" dataCaption="Values" tag="fed78dba-9029-4958-85e3-e3d0b9954580" updatedVersion="8" minRefreshableVersion="3" useAutoFormatting="1" subtotalHiddenItems="1" itemPrintTitles="1" createdVersion="5" indent="0" outline="1" outlineData="1" multipleFieldFilters="0" chartFormat="7" rowHeaderCaption="State">
  <location ref="E4:F11" firstHeaderRow="1" firstDataRow="1" firstDataCol="1"/>
  <pivotFields count="4">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fld="1" subtotal="count"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0" format="6">
      <pivotArea type="data" outline="0" fieldPosition="0">
        <references count="2">
          <reference field="4294967294" count="1" selected="0">
            <x v="0"/>
          </reference>
          <reference field="2" count="1" selected="0">
            <x v="5"/>
          </reference>
        </references>
      </pivotArea>
    </chartFormat>
    <chartFormat chart="6" format="14" series="1">
      <pivotArea type="data" outline="0" fieldPosition="0">
        <references count="1">
          <reference field="4294967294" count="1" selected="0">
            <x v="0"/>
          </reference>
        </references>
      </pivotArea>
    </chartFormat>
    <chartFormat chart="6" format="15">
      <pivotArea type="data" outline="0" fieldPosition="0">
        <references count="2">
          <reference field="4294967294" count="1" selected="0">
            <x v="0"/>
          </reference>
          <reference field="2" count="1" selected="0">
            <x v="0"/>
          </reference>
        </references>
      </pivotArea>
    </chartFormat>
    <chartFormat chart="6" format="16">
      <pivotArea type="data" outline="0" fieldPosition="0">
        <references count="2">
          <reference field="4294967294" count="1" selected="0">
            <x v="0"/>
          </reference>
          <reference field="2" count="1" selected="0">
            <x v="1"/>
          </reference>
        </references>
      </pivotArea>
    </chartFormat>
    <chartFormat chart="6" format="17">
      <pivotArea type="data" outline="0" fieldPosition="0">
        <references count="2">
          <reference field="4294967294" count="1" selected="0">
            <x v="0"/>
          </reference>
          <reference field="2" count="1" selected="0">
            <x v="2"/>
          </reference>
        </references>
      </pivotArea>
    </chartFormat>
    <chartFormat chart="6" format="18">
      <pivotArea type="data" outline="0" fieldPosition="0">
        <references count="2">
          <reference field="4294967294" count="1" selected="0">
            <x v="0"/>
          </reference>
          <reference field="2" count="1" selected="0">
            <x v="3"/>
          </reference>
        </references>
      </pivotArea>
    </chartFormat>
    <chartFormat chart="6" format="19">
      <pivotArea type="data" outline="0" fieldPosition="0">
        <references count="2">
          <reference field="4294967294" count="1" selected="0">
            <x v="0"/>
          </reference>
          <reference field="2" count="1" selected="0">
            <x v="4"/>
          </reference>
        </references>
      </pivotArea>
    </chartFormat>
    <chartFormat chart="6" format="20">
      <pivotArea type="data" outline="0" fieldPosition="0">
        <references count="2">
          <reference field="4294967294" count="1" selected="0">
            <x v="0"/>
          </reference>
          <reference field="2" count="1" selected="0">
            <x v="5"/>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33">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28AA8D-CE29-41CE-81BF-09D7FF04349A}" name="PivotTable7" cacheId="12" applyNumberFormats="0" applyBorderFormats="0" applyFontFormats="0" applyPatternFormats="0" applyAlignmentFormats="0" applyWidthHeightFormats="1" dataCaption="Values" tag="c5df75fd-6095-4ed2-bf55-cf0880c3693f" updatedVersion="8" minRefreshableVersion="3" useAutoFormatting="1" subtotalHiddenItems="1" itemPrintTitles="1" createdVersion="5" indent="0" outline="1" outlineData="1" multipleFieldFilters="0" rowHeaderCaption="CountaryRegoin">
  <location ref="O4:O5"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3" iMeasureHier="3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03E154-464A-47B6-BAE0-1531AC5746B1}" name="PivotTable4" cacheId="10" applyNumberFormats="0" applyBorderFormats="0" applyFontFormats="0" applyPatternFormats="0" applyAlignmentFormats="0" applyWidthHeightFormats="1" dataCaption="Values" tag="dda856ea-6bf5-4949-9b39-59fda0533f45" updatedVersion="8" minRefreshableVersion="3" useAutoFormatting="1" subtotalHiddenItems="1" itemPrintTitles="1" createdVersion="5" indent="0" outline="1" outlineData="1" multipleFieldFilters="0" chartFormat="12" rowHeaderCaption="CountaryRegoin">
  <location ref="K4:L7"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fld="3"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3" iMeasureHier="34">
      <autoFilter ref="A1">
        <filterColumn colId="0">
          <top10 val="10" filterVal="10"/>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D0114A5-EFC2-4C2B-98CF-1BA8781C215A}" name="PivotTable6" cacheId="11" applyNumberFormats="0" applyBorderFormats="0" applyFontFormats="0" applyPatternFormats="0" applyAlignmentFormats="0" applyWidthHeightFormats="1" dataCaption="Values" tag="81579785-7857-42d6-876c-e8f8f51ed33f" updatedVersion="8" minRefreshableVersion="3" useAutoFormatting="1" subtotalHiddenItems="1" itemPrintTitles="1" createdVersion="5" indent="0" outline="1" outlineData="1" multipleFieldFilters="0" rowHeaderCaption="CountaryRegoin">
  <location ref="N4:N5"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numFmtId="164"/>
  </dataFields>
  <formats count="1">
    <format dxfId="1">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3" iMeasureHier="3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5C32AC-5791-4AB0-9951-10A6904B4FD0}" name="PivotTable13" cacheId="3" applyNumberFormats="0" applyBorderFormats="0" applyFontFormats="0" applyPatternFormats="0" applyAlignmentFormats="0" applyWidthHeightFormats="1" dataCaption="Values" tag="d30c7d49-ea3b-48d5-b5d2-fb7fe3f09f02" updatedVersion="8" minRefreshableVersion="3" useAutoFormatting="1" subtotalHiddenItems="1" itemPrintTitles="1" createdVersion="5" indent="0" outline="1" outlineData="1" multipleFieldFilters="0" chartFormat="6" rowHeaderCaption="ProductName">
  <location ref="W4:X15"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fld="3"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2" iMeasureHier="33">
      <autoFilter ref="A1">
        <filterColumn colId="0">
          <top10 val="10" filterVal="10"/>
        </filterColumn>
      </autoFilter>
    </filter>
    <filter fld="1" type="count" id="3" iMeasureHier="34">
      <autoFilter ref="A1">
        <filterColumn colId="0">
          <top10 val="10" filterVal="10"/>
        </filterColumn>
      </autoFilter>
    </filter>
    <filter fld="2" type="count" id="4" iMeasureHier="33">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66E76A-14BB-4AB3-9217-CEF3C1F88223}" name="PivotTable16" cacheId="6" applyNumberFormats="0" applyBorderFormats="0" applyFontFormats="0" applyPatternFormats="0" applyAlignmentFormats="0" applyWidthHeightFormats="1" dataCaption="Values" tag="a867a1a3-e974-4bb8-9d07-160cbebc5666" updatedVersion="8" minRefreshableVersion="3" useAutoFormatting="1" subtotalHiddenItems="1" itemPrintTitles="1" createdVersion="5" indent="0" outline="1" outlineData="1" multipleFieldFilters="0" chartFormat="4" rowHeaderCaption="Year">
  <location ref="AG4:AI6" firstHeaderRow="0"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
        <item x="0"/>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2">
    <i>
      <x/>
    </i>
    <i t="grand">
      <x/>
    </i>
  </rowItems>
  <colFields count="1">
    <field x="-2"/>
  </colFields>
  <colItems count="2">
    <i>
      <x/>
    </i>
    <i i="1">
      <x v="1"/>
    </i>
  </colItems>
  <dataFields count="2">
    <dataField fld="4" subtotal="count" baseField="0" baseItem="0"/>
    <dataField fld="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2" iMeasureHier="33">
      <autoFilter ref="A1">
        <filterColumn colId="0">
          <top10 val="10" filterVal="10"/>
        </filterColumn>
      </autoFilter>
    </filter>
    <filter fld="1" type="count" id="3" iMeasureHier="34">
      <autoFilter ref="A1">
        <filterColumn colId="0">
          <top10 val="10" filterVal="10"/>
        </filterColumn>
      </autoFilter>
    </filter>
    <filter fld="2" type="count" id="4" iMeasureHier="33">
      <autoFilter ref="A1">
        <filterColumn colId="0">
          <top10 val="10" filterVal="10"/>
        </filterColumn>
      </autoFilter>
    </filter>
  </filters>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activeTabTopLevelEntity name="[Dim_Product]"/>
        <x15:activeTabTopLevelEntity name="[D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81EFE8-E78C-432D-9C93-5E5924714723}" name="PivotTable1" cacheId="1" applyNumberFormats="0" applyBorderFormats="0" applyFontFormats="0" applyPatternFormats="0" applyAlignmentFormats="0" applyWidthHeightFormats="1" dataCaption="Values" tag="9f54d8fa-d8b0-4aa4-aa73-06f22a85fb78" updatedVersion="8" minRefreshableVersion="3" useAutoFormatting="1" subtotalHiddenItems="1" itemPrintTitles="1" createdVersion="5" indent="0" outline="1" outlineData="1" multipleFieldFilters="0" chartFormat="9" rowHeaderCaption="City">
  <location ref="B4:C15"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9"/>
    </i>
    <i>
      <x v="7"/>
    </i>
    <i>
      <x v="3"/>
    </i>
    <i>
      <x v="1"/>
    </i>
    <i>
      <x v="2"/>
    </i>
    <i>
      <x v="6"/>
    </i>
    <i>
      <x/>
    </i>
    <i>
      <x v="8"/>
    </i>
    <i>
      <x v="5"/>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A4EF05A-4849-4A1B-A7B9-962645D00E82}" name="PivotTable14" cacheId="4" applyNumberFormats="0" applyBorderFormats="0" applyFontFormats="0" applyPatternFormats="0" applyAlignmentFormats="0" applyWidthHeightFormats="1" dataCaption="Values" tag="5b15849a-e1fa-4f31-b76e-359de093cbed" updatedVersion="8" minRefreshableVersion="3" useAutoFormatting="1" subtotalHiddenItems="1" itemPrintTitles="1" createdVersion="5" indent="0" outline="1" outlineData="1" multipleFieldFilters="0" chartFormat="10" rowHeaderCaption="Price_Cat_Classify">
  <location ref="Z4:AB8" firstHeaderRow="0"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3"/>
  </rowFields>
  <rowItems count="4">
    <i>
      <x/>
    </i>
    <i>
      <x v="1"/>
    </i>
    <i>
      <x v="2"/>
    </i>
    <i t="grand">
      <x/>
    </i>
  </rowItems>
  <colFields count="1">
    <field x="-2"/>
  </colFields>
  <colItems count="2">
    <i>
      <x/>
    </i>
    <i i="1">
      <x v="1"/>
    </i>
  </colItems>
  <dataFields count="2">
    <dataField fld="4" subtotal="count" baseField="0" baseItem="0"/>
    <dataField fld="5"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2" iMeasureHier="33">
      <autoFilter ref="A1">
        <filterColumn colId="0">
          <top10 val="10" filterVal="10"/>
        </filterColumn>
      </autoFilter>
    </filter>
    <filter fld="1" type="count" id="3" iMeasureHier="34">
      <autoFilter ref="A1">
        <filterColumn colId="0">
          <top10 val="10" filterVal="10"/>
        </filterColumn>
      </autoFilter>
    </filter>
    <filter fld="2" type="count" id="4" iMeasureHier="33">
      <autoFilter ref="A1">
        <filterColumn colId="0">
          <top10 val="10" filterVal="10"/>
        </filterColumn>
      </autoFilter>
    </filter>
  </filters>
  <rowHierarchiesUsage count="1">
    <rowHierarchyUsage hierarchyUsage="2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13EFC8D-2177-4C6B-9D0A-1812904BE19C}" name="PivotTable9" cacheId="14" applyNumberFormats="0" applyBorderFormats="0" applyFontFormats="0" applyPatternFormats="0" applyAlignmentFormats="0" applyWidthHeightFormats="1" dataCaption="Values" tag="e5f29c74-9660-4238-ac6f-ebf8f0361fda" updatedVersion="8" minRefreshableVersion="3" useAutoFormatting="1" subtotalHiddenItems="1" itemPrintTitles="1" createdVersion="5" indent="0" outline="1" outlineData="1" multipleFieldFilters="0" rowHeaderCaption="CountaryRegoin">
  <location ref="Q4:Q5"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3" iMeasureHier="3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BF23B16-A9F6-462A-B194-336EBB957F03}" name="PivotTable3" cacheId="9" applyNumberFormats="0" applyBorderFormats="0" applyFontFormats="0" applyPatternFormats="0" applyAlignmentFormats="0" applyWidthHeightFormats="1" dataCaption="Values" tag="9f74ed2f-06dd-4a9f-84a3-211d5a73ce53" updatedVersion="8" minRefreshableVersion="3" useAutoFormatting="1" subtotalHiddenItems="1" itemPrintTitles="1" createdVersion="5" indent="0" outline="1" outlineData="1" multipleFieldFilters="0" chartFormat="9" rowHeaderCaption="FullName">
  <location ref="H4:I15" firstHeaderRow="1" firstDataRow="1" firstDataCol="1"/>
  <pivotFields count="4">
    <pivotField allDrilled="1" subtotalTop="0" showAll="0" measureFilter="1" defaultSubtotal="0" defaultAttributeDrillState="1">
      <items count="10">
        <item x="0"/>
        <item x="1"/>
        <item x="2"/>
        <item x="3"/>
        <item x="4"/>
        <item x="5"/>
        <item x="6"/>
        <item x="7"/>
        <item x="8"/>
        <item x="9"/>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11">
    <i>
      <x v="5"/>
    </i>
    <i>
      <x v="4"/>
    </i>
    <i>
      <x v="9"/>
    </i>
    <i>
      <x v="6"/>
    </i>
    <i>
      <x v="3"/>
    </i>
    <i>
      <x v="1"/>
    </i>
    <i>
      <x/>
    </i>
    <i>
      <x v="8"/>
    </i>
    <i>
      <x v="2"/>
    </i>
    <i>
      <x v="7"/>
    </i>
    <i t="grand">
      <x/>
    </i>
  </rowItems>
  <colItems count="1">
    <i/>
  </colItems>
  <dataFields count="1">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3" iMeasureHier="34">
      <autoFilter ref="A1">
        <filterColumn colId="0">
          <top10 val="10" filterVal="10"/>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FC0DF90-3914-413E-BA76-1FA4B7F8BD89}" name="PivotTable15" cacheId="5" applyNumberFormats="0" applyBorderFormats="0" applyFontFormats="0" applyPatternFormats="0" applyAlignmentFormats="0" applyWidthHeightFormats="1" dataCaption="Values" tag="cdfe7d40-345b-4391-a064-49ddce187c55" updatedVersion="8" minRefreshableVersion="3" useAutoFormatting="1" subtotalHiddenItems="1" itemPrintTitles="1" createdVersion="5" indent="0" outline="1" outlineData="1" multipleFieldFilters="0" chartFormat="6" rowHeaderCaption="Color">
  <location ref="AD4:AE14" firstHeaderRow="1" firstDataRow="1" firstDataCol="1"/>
  <pivotFields count="5">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efaultSubtotal="0" defaultAttributeDrillState="1">
      <items count="9">
        <item x="0"/>
        <item x="1"/>
        <item x="2"/>
        <item x="3"/>
        <item x="5"/>
        <item x="6"/>
        <item x="7"/>
        <item x="8"/>
        <item x="4"/>
      </items>
    </pivotField>
    <pivotField dataField="1" subtotalTop="0" showAll="0" defaultSubtotal="0"/>
  </pivotFields>
  <rowFields count="1">
    <field x="3"/>
  </rowFields>
  <rowItems count="10">
    <i>
      <x/>
    </i>
    <i>
      <x v="1"/>
    </i>
    <i>
      <x v="2"/>
    </i>
    <i>
      <x v="3"/>
    </i>
    <i>
      <x v="4"/>
    </i>
    <i>
      <x v="5"/>
    </i>
    <i>
      <x v="6"/>
    </i>
    <i>
      <x v="7"/>
    </i>
    <i>
      <x v="8"/>
    </i>
    <i t="grand">
      <x/>
    </i>
  </rowItems>
  <colItems count="1">
    <i/>
  </colItems>
  <dataFields count="1">
    <dataField fld="4" subtotal="count" showDataAs="percentOfTotal" baseField="3" baseItem="4" numFmtId="9"/>
  </dataField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1048832"/>
          </reference>
        </references>
      </pivotArea>
    </chartFormat>
    <chartFormat chart="0" format="6">
      <pivotArea type="data" outline="0" fieldPosition="0">
        <references count="2">
          <reference field="4294967294" count="1" selected="0">
            <x v="0"/>
          </reference>
          <reference field="3" count="1" selected="0">
            <x v="4"/>
          </reference>
        </references>
      </pivotArea>
    </chartFormat>
    <chartFormat chart="0" format="7">
      <pivotArea type="data" outline="0" fieldPosition="0">
        <references count="2">
          <reference field="4294967294" count="1" selected="0">
            <x v="0"/>
          </reference>
          <reference field="3" count="1" selected="0">
            <x v="5"/>
          </reference>
        </references>
      </pivotArea>
    </chartFormat>
    <chartFormat chart="0" format="8">
      <pivotArea type="data" outline="0" fieldPosition="0">
        <references count="2">
          <reference field="4294967294" count="1" selected="0">
            <x v="0"/>
          </reference>
          <reference field="3" count="1" selected="0">
            <x v="6"/>
          </reference>
        </references>
      </pivotArea>
    </chartFormat>
    <chartFormat chart="0" format="9">
      <pivotArea type="data" outline="0" fieldPosition="0">
        <references count="2">
          <reference field="4294967294" count="1" selected="0">
            <x v="0"/>
          </reference>
          <reference field="3" count="1" selected="0">
            <x v="7"/>
          </reference>
        </references>
      </pivotArea>
    </chartFormat>
    <chartFormat chart="5" format="20" series="1">
      <pivotArea type="data" outline="0" fieldPosition="0">
        <references count="1">
          <reference field="4294967294" count="1" selected="0">
            <x v="0"/>
          </reference>
        </references>
      </pivotArea>
    </chartFormat>
    <chartFormat chart="5" format="21">
      <pivotArea type="data" outline="0" fieldPosition="0">
        <references count="2">
          <reference field="4294967294" count="1" selected="0">
            <x v="0"/>
          </reference>
          <reference field="3" count="1" selected="0">
            <x v="0"/>
          </reference>
        </references>
      </pivotArea>
    </chartFormat>
    <chartFormat chart="5" format="22">
      <pivotArea type="data" outline="0" fieldPosition="0">
        <references count="2">
          <reference field="4294967294" count="1" selected="0">
            <x v="0"/>
          </reference>
          <reference field="3" count="1" selected="0">
            <x v="1"/>
          </reference>
        </references>
      </pivotArea>
    </chartFormat>
    <chartFormat chart="5" format="23">
      <pivotArea type="data" outline="0" fieldPosition="0">
        <references count="2">
          <reference field="4294967294" count="1" selected="0">
            <x v="0"/>
          </reference>
          <reference field="3" count="1" selected="0">
            <x v="2"/>
          </reference>
        </references>
      </pivotArea>
    </chartFormat>
    <chartFormat chart="5" format="24">
      <pivotArea type="data" outline="0" fieldPosition="0">
        <references count="2">
          <reference field="4294967294" count="1" selected="0">
            <x v="0"/>
          </reference>
          <reference field="3" count="1" selected="0">
            <x v="3"/>
          </reference>
        </references>
      </pivotArea>
    </chartFormat>
    <chartFormat chart="5" format="25">
      <pivotArea type="data" outline="0" fieldPosition="0">
        <references count="2">
          <reference field="4294967294" count="1" selected="0">
            <x v="0"/>
          </reference>
          <reference field="3" count="1" selected="0">
            <x v="1048832"/>
          </reference>
        </references>
      </pivotArea>
    </chartFormat>
    <chartFormat chart="5" format="26">
      <pivotArea type="data" outline="0" fieldPosition="0">
        <references count="2">
          <reference field="4294967294" count="1" selected="0">
            <x v="0"/>
          </reference>
          <reference field="3" count="1" selected="0">
            <x v="4"/>
          </reference>
        </references>
      </pivotArea>
    </chartFormat>
    <chartFormat chart="5" format="27">
      <pivotArea type="data" outline="0" fieldPosition="0">
        <references count="2">
          <reference field="4294967294" count="1" selected="0">
            <x v="0"/>
          </reference>
          <reference field="3" count="1" selected="0">
            <x v="5"/>
          </reference>
        </references>
      </pivotArea>
    </chartFormat>
    <chartFormat chart="5" format="28">
      <pivotArea type="data" outline="0" fieldPosition="0">
        <references count="2">
          <reference field="4294967294" count="1" selected="0">
            <x v="0"/>
          </reference>
          <reference field="3" count="1" selected="0">
            <x v="6"/>
          </reference>
        </references>
      </pivotArea>
    </chartFormat>
    <chartFormat chart="5" format="29">
      <pivotArea type="data" outline="0" fieldPosition="0">
        <references count="2">
          <reference field="4294967294" count="1" selected="0">
            <x v="0"/>
          </reference>
          <reference field="3" count="1" selected="0">
            <x v="7"/>
          </reference>
        </references>
      </pivotArea>
    </chartFormat>
    <chartFormat chart="0" format="10">
      <pivotArea type="data" outline="0" fieldPosition="0">
        <references count="2">
          <reference field="4294967294" count="1" selected="0">
            <x v="0"/>
          </reference>
          <reference field="3" count="1" selected="0">
            <x v="8"/>
          </reference>
        </references>
      </pivotArea>
    </chartFormat>
    <chartFormat chart="5" format="30">
      <pivotArea type="data" outline="0" fieldPosition="0">
        <references count="2">
          <reference field="4294967294" count="1" selected="0">
            <x v="0"/>
          </reference>
          <reference field="3" count="1" selected="0">
            <x v="8"/>
          </reference>
        </references>
      </pivotArea>
    </chartFormat>
  </chart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2" iMeasureHier="33">
      <autoFilter ref="A1">
        <filterColumn colId="0">
          <top10 val="10" filterVal="10"/>
        </filterColumn>
      </autoFilter>
    </filter>
    <filter fld="1" type="count" id="3" iMeasureHier="34">
      <autoFilter ref="A1">
        <filterColumn colId="0">
          <top10 val="10" filterVal="10"/>
        </filterColumn>
      </autoFilter>
    </filter>
    <filter fld="2" type="count" id="4" iMeasureHier="33">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activeTabTopLevelEntity name="[Dim_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3BFE45B-4AC1-493C-956C-0E73A380852D}" name="PivotTable10" cacheId="2" applyNumberFormats="0" applyBorderFormats="0" applyFontFormats="0" applyPatternFormats="0" applyAlignmentFormats="0" applyWidthHeightFormats="1" dataCaption="Values" tag="86f0f4ce-047a-4199-ba2f-0a47b5bbca35" updatedVersion="8" minRefreshableVersion="3" useAutoFormatting="1" subtotalHiddenItems="1" itemPrintTitles="1" createdVersion="5" indent="0" outline="1" outlineData="1" multipleFieldFilters="0" rowHeaderCaption="CountaryRegoin">
  <location ref="R4:R5" firstHeaderRow="1" firstDataRow="1" firstDataCol="0"/>
  <pivotFields count="4">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fld="2" subtotal="count" baseField="0" baseItem="0" numFmtId="164"/>
  </dataFields>
  <formats count="1">
    <format dxfId="2">
      <pivotArea outline="0" collapsedLevelsAreSubtotals="1" fieldPosition="0"/>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0" type="count" id="2" iMeasureHier="33">
      <autoFilter ref="A1">
        <filterColumn colId="0">
          <top10 val="10" filterVal="10"/>
        </filterColumn>
      </autoFilter>
    </filter>
    <filter fld="1" type="count" id="3" iMeasureHier="34">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E9B851E-14E0-4C89-9BBF-178469CF323A}" name="PivotTable19" cacheId="7" applyNumberFormats="0" applyBorderFormats="0" applyFontFormats="0" applyPatternFormats="0" applyAlignmentFormats="0" applyWidthHeightFormats="1" dataCaption="Values" tag="c28a6039-42dc-45a0-8e6c-738b6ab503bd" updatedVersion="8" minRefreshableVersion="3" useAutoFormatting="1" subtotalHiddenItems="1" itemPrintTitles="1" createdVersion="5" indent="0" outline="1" outlineData="1" multipleFieldFilters="0" rowHeaderCaption="Month">
  <location ref="AG11:AI13" firstHeaderRow="0" firstDataRow="1" firstDataCol="1"/>
  <pivotFields count="7">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5"/>
  </rowFields>
  <rowItems count="2">
    <i>
      <x/>
    </i>
    <i t="grand">
      <x/>
    </i>
  </rowItems>
  <colFields count="1">
    <field x="-2"/>
  </colFields>
  <colItems count="2">
    <i>
      <x/>
    </i>
    <i i="1">
      <x v="1"/>
    </i>
  </colItems>
  <dataFields count="2">
    <dataField fld="3" subtotal="count" baseField="0" baseItem="0"/>
    <dataField fld="4" subtotal="count" baseField="0" baseItem="0"/>
  </dataField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ID"/>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3">
    <filter fld="0" type="count" id="2" iMeasureHier="33">
      <autoFilter ref="A1">
        <filterColumn colId="0">
          <top10 val="10" filterVal="10"/>
        </filterColumn>
      </autoFilter>
    </filter>
    <filter fld="1" type="count" id="3" iMeasureHier="34">
      <autoFilter ref="A1">
        <filterColumn colId="0">
          <top10 val="10" filterVal="10"/>
        </filterColumn>
      </autoFilter>
    </filter>
    <filter fld="2" type="count" id="4" iMeasureHier="33">
      <autoFilter ref="A1">
        <filterColumn colId="0">
          <top10 val="10" filterVal="10"/>
        </filterColumn>
      </autoFilter>
    </filter>
  </filters>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ustomer]"/>
        <x15:activeTabTopLevelEntity name="[Fact_Sales]"/>
        <x15:activeTabTopLevelEntity name="[Dim_Product]"/>
        <x15:activeTabTopLevelEntity name="[D_Dat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E50F6579-B8A5-4B61-B465-2CAB15148097}" autoFormatId="16" applyNumberFormats="0" applyBorderFormats="0" applyFontFormats="0" applyPatternFormats="0" applyAlignmentFormats="0" applyWidthHeightFormats="0">
  <queryTableRefresh nextId="9">
    <queryTableFields count="7">
      <queryTableField id="1" name="SalesOrderID" tableColumnId="1"/>
      <queryTableField id="2" name="ProductID" tableColumnId="2"/>
      <queryTableField id="3" name="CustomerID" tableColumnId="3"/>
      <queryTableField id="4" name="OrderDate" tableColumnId="4"/>
      <queryTableField id="5" name="OrderQty" tableColumnId="5"/>
      <queryTableField id="6" name="UnitPrice" tableColumnId="6"/>
      <queryTableField id="8" name="TotalAmount"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4129D0F2-46F7-4DAE-ADC4-F3300A4EE575}" autoFormatId="16" applyNumberFormats="0" applyBorderFormats="0" applyFontFormats="0" applyPatternFormats="0" applyAlignmentFormats="0" applyWidthHeightFormats="0">
  <queryTableRefresh nextId="7">
    <queryTableFields count="6">
      <queryTableField id="1" name="CustomerID" tableColumnId="1"/>
      <queryTableField id="2" name="FullName" tableColumnId="2"/>
      <queryTableField id="3" name="EmailAddress" tableColumnId="3"/>
      <queryTableField id="4" name="City" tableColumnId="4"/>
      <queryTableField id="5" name="StateProvince" tableColumnId="5"/>
      <queryTableField id="6" name="CountryRegion"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8BCA712E-9BD8-45E0-A249-0C47B9F990A4}" autoFormatId="16" applyNumberFormats="0" applyBorderFormats="0" applyFontFormats="0" applyPatternFormats="0" applyAlignmentFormats="0" applyWidthHeightFormats="0">
  <queryTableRefresh nextId="8">
    <queryTableFields count="7">
      <queryTableField id="1" name="ProductID" tableColumnId="1"/>
      <queryTableField id="2" name="ProductName" tableColumnId="2"/>
      <queryTableField id="3" name="Color" tableColumnId="3"/>
      <queryTableField id="4" name="Size" tableColumnId="4"/>
      <queryTableField id="5" name="ListPrice" tableColumnId="5"/>
      <queryTableField id="6" name="Category" tableColumnId="6"/>
      <queryTableField id="7" name="Model"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F6DE94C0-695A-40D0-83E0-B846AD1556F4}" autoFormatId="16" applyNumberFormats="0" applyBorderFormats="0" applyFontFormats="0" applyPatternFormats="0" applyAlignmentFormats="0" applyWidthHeightFormats="0">
  <queryTableRefresh nextId="10">
    <queryTableFields count="7">
      <queryTableField id="8" name="Order_Date" tableColumnId="8"/>
      <queryTableField id="2" name="Year" tableColumnId="2"/>
      <queryTableField id="3" name="Year_number" tableColumnId="3"/>
      <queryTableField id="4" name="Month_name" tableColumnId="4"/>
      <queryTableField id="5" name="Quarter" tableColumnId="5"/>
      <queryTableField id="6" name="Week Number" tableColumnId="6"/>
      <queryTableField id="7" name="Weekday"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Province" xr10:uid="{06EFB544-5209-46BE-8458-8E0A60300142}" sourceName="[Dim_Customer].[StateProvince]">
  <pivotTables>
    <pivotTable tabId="11" name="PivotTable3"/>
    <pivotTable tabId="11" name="PivotTable1"/>
    <pivotTable tabId="11" name="PivotTable10"/>
    <pivotTable tabId="11" name="PivotTable12"/>
    <pivotTable tabId="11" name="PivotTable13"/>
    <pivotTable tabId="11" name="PivotTable14"/>
    <pivotTable tabId="11" name="PivotTable15"/>
    <pivotTable tabId="11" name="PivotTable16"/>
    <pivotTable tabId="11" name="PivotTable19"/>
    <pivotTable tabId="11" name="PivotTable2"/>
    <pivotTable tabId="11" name="PivotTable4"/>
    <pivotTable tabId="11" name="PivotTable6"/>
    <pivotTable tabId="11" name="PivotTable7"/>
    <pivotTable tabId="11" name="PivotTable8"/>
    <pivotTable tabId="11" name="PivotTable9"/>
  </pivotTables>
  <data>
    <olap pivotCacheId="595419100">
      <levels count="2">
        <level uniqueName="[Dim_Customer].[StateProvince].[(All)]" sourceCaption="(All)" count="0"/>
        <level uniqueName="[Dim_Customer].[StateProvince].[StateProvince]" sourceCaption="StateProvince" count="25">
          <ranges>
            <range startItem="0">
              <i n="[Dim_Customer].[StateProvince].&amp;[California]" c="California"/>
              <i n="[Dim_Customer].[StateProvince].&amp;[Colorado]" c="Colorado"/>
              <i n="[Dim_Customer].[StateProvince].&amp;[England]" c="England"/>
              <i n="[Dim_Customer].[StateProvince].&amp;[Nevada]" c="Nevada"/>
              <i n="[Dim_Customer].[StateProvince].&amp;[New Mexico]" c="New Mexico"/>
              <i n="[Dim_Customer].[StateProvince].&amp;[Utah]" c="Utah"/>
              <i n="[Dim_Customer].[StateProvince].&amp;[Alberta]" c="Alberta" nd="1"/>
              <i n="[Dim_Customer].[StateProvince].&amp;[Arizona]" c="Arizona" nd="1"/>
              <i n="[Dim_Customer].[StateProvince].&amp;[British Columbia]" c="British Columbia" nd="1"/>
              <i n="[Dim_Customer].[StateProvince].&amp;[Brunswick]" c="Brunswick" nd="1"/>
              <i n="[Dim_Customer].[StateProvince].&amp;[Idaho]" c="Idaho" nd="1"/>
              <i n="[Dim_Customer].[StateProvince].&amp;[Illinois]" c="Illinois" nd="1"/>
              <i n="[Dim_Customer].[StateProvince].&amp;[Manitoba]" c="Manitoba" nd="1"/>
              <i n="[Dim_Customer].[StateProvince].&amp;[Michigan]" c="Michigan" nd="1"/>
              <i n="[Dim_Customer].[StateProvince].&amp;[Minnesota]" c="Minnesota" nd="1"/>
              <i n="[Dim_Customer].[StateProvince].&amp;[Missouri]" c="Missouri" nd="1"/>
              <i n="[Dim_Customer].[StateProvince].&amp;[Montana]" c="Montana" nd="1"/>
              <i n="[Dim_Customer].[StateProvince].&amp;[Ontario]" c="Ontario" nd="1"/>
              <i n="[Dim_Customer].[StateProvince].&amp;[Oregon]" c="Oregon" nd="1"/>
              <i n="[Dim_Customer].[StateProvince].&amp;[Quebec]" c="Quebec" nd="1"/>
              <i n="[Dim_Customer].[StateProvince].&amp;[South Dakota]" c="South Dakota" nd="1"/>
              <i n="[Dim_Customer].[StateProvince].&amp;[Texas]" c="Texas" nd="1"/>
              <i n="[Dim_Customer].[StateProvince].&amp;[Washington]" c="Washington" nd="1"/>
              <i n="[Dim_Customer].[StateProvince].&amp;[Wisconsin]" c="Wisconsin" nd="1"/>
              <i n="[Dim_Customer].[StateProvince].&amp;[Wyoming]" c="Wyoming" nd="1"/>
            </range>
          </ranges>
        </level>
      </levels>
      <selections count="1">
        <selection n="[Dim_Customer].[StateProvinc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AB8442AB-556B-468A-9B31-5F18CC7BC9BA}" sourceName="[Dim_Product].[Color]">
  <pivotTables>
    <pivotTable tabId="11" name="PivotTable12"/>
    <pivotTable tabId="11" name="PivotTable1"/>
    <pivotTable tabId="11" name="PivotTable10"/>
    <pivotTable tabId="11" name="PivotTable13"/>
    <pivotTable tabId="11" name="PivotTable14"/>
    <pivotTable tabId="11" name="PivotTable15"/>
    <pivotTable tabId="11" name="PivotTable16"/>
    <pivotTable tabId="11" name="PivotTable19"/>
    <pivotTable tabId="11" name="PivotTable2"/>
    <pivotTable tabId="11" name="PivotTable3"/>
    <pivotTable tabId="11" name="PivotTable4"/>
    <pivotTable tabId="11" name="PivotTable6"/>
    <pivotTable tabId="11" name="PivotTable7"/>
    <pivotTable tabId="11" name="PivotTable8"/>
    <pivotTable tabId="11" name="PivotTable9"/>
  </pivotTables>
  <data>
    <olap pivotCacheId="595419100">
      <levels count="2">
        <level uniqueName="[Dim_Product].[Color].[(All)]" sourceCaption="(All)" count="0"/>
        <level uniqueName="[Dim_Product].[Color].[Color]" sourceCaption="Color" count="10">
          <ranges>
            <range startItem="0">
              <i n="[Dim_Product].[Color].&amp;[Black]" c="Black"/>
              <i n="[Dim_Product].[Color].&amp;[Blue]" c="Blue"/>
              <i n="[Dim_Product].[Color].&amp;[Multi]" c="Multi"/>
              <i n="[Dim_Product].[Color].&amp;[Not Specified]" c="Not Specified"/>
              <i n="[Dim_Product].[Color].&amp;[Others]" c="Others"/>
              <i n="[Dim_Product].[Color].&amp;[Silver]" c="Silver"/>
              <i n="[Dim_Product].[Color].&amp;[Silver/Black]" c="Silver/Black"/>
              <i n="[Dim_Product].[Color].&amp;[White]" c="White"/>
              <i n="[Dim_Product].[Color].&amp;[Yellow]" c="Yellow"/>
              <i n="[Dim_Product].[Color].&amp;[Grey]" c="Grey" nd="1"/>
            </range>
          </ranges>
        </level>
      </levels>
      <selections count="1">
        <selection n="[Dim_Product].[Colo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_Classify" xr10:uid="{29638BC1-65B4-4002-AA35-10E37A629EC4}" sourceName="[Dim_Product].[Price Category Classify]">
  <pivotTables>
    <pivotTable tabId="11" name="PivotTable14"/>
    <pivotTable tabId="11" name="PivotTable1"/>
    <pivotTable tabId="11" name="PivotTable10"/>
    <pivotTable tabId="11" name="PivotTable12"/>
    <pivotTable tabId="11" name="PivotTable13"/>
    <pivotTable tabId="11" name="PivotTable15"/>
    <pivotTable tabId="11" name="PivotTable16"/>
    <pivotTable tabId="11" name="PivotTable19"/>
    <pivotTable tabId="11" name="PivotTable2"/>
    <pivotTable tabId="11" name="PivotTable3"/>
    <pivotTable tabId="11" name="PivotTable4"/>
    <pivotTable tabId="11" name="PivotTable6"/>
    <pivotTable tabId="11" name="PivotTable7"/>
    <pivotTable tabId="11" name="PivotTable8"/>
    <pivotTable tabId="11" name="PivotTable9"/>
  </pivotTables>
  <data>
    <olap pivotCacheId="595419100">
      <levels count="2">
        <level uniqueName="[Dim_Product].[Price Category Classify].[(All)]" sourceCaption="(All)" count="0"/>
        <level uniqueName="[Dim_Product].[Price Category Classify].[Price Category Classify]" sourceCaption="Price Category Classify" count="3">
          <ranges>
            <range startItem="0">
              <i n="[Dim_Product].[Price Category Classify].&amp;[High]" c="High"/>
              <i n="[Dim_Product].[Price Category Classify].&amp;[Low]" c="Low"/>
              <i n="[Dim_Product].[Price Category Classify].&amp;[Medium]" c="Medium"/>
            </range>
          </ranges>
        </level>
      </levels>
      <selections count="1">
        <selection n="[Dim_Product].[Price Category Classif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Province 2" xr10:uid="{9A463D7C-19C2-43C6-9480-8B317529D84E}" cache="Slicer_StateProvince" caption="StateProvince" level="1" style="SlicerStyleLight4" rowHeight="241300"/>
  <slicer name="Color" xr10:uid="{B800AD43-CB4D-46FF-994A-E7E294EE1701}" cache="Slicer_Color" caption="Color" startItem="4" level="1" style="SlicerStyleLight4" rowHeight="241300"/>
  <slicer name="Price Category Classify" xr10:uid="{84DF22F9-2A28-4BC7-9A64-409C1FD7686F}" cache="Slicer_Price_Category_Classify" caption="Price Category Classify" level="1" style="SlicerStyleLigh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A0270EE-AFE6-4233-9BEC-7DE08D502BCA}" name="Fact_Sales" displayName="Fact_Sales" ref="A1:G543" tableType="queryTable" totalsRowShown="0">
  <autoFilter ref="A1:G543" xr:uid="{9A0270EE-AFE6-4233-9BEC-7DE08D502BCA}"/>
  <tableColumns count="7">
    <tableColumn id="1" xr3:uid="{46FFDD92-7B1B-4099-9291-F7C83727C145}" uniqueName="1" name="SalesOrderID" queryTableFieldId="1"/>
    <tableColumn id="2" xr3:uid="{84F421B0-EC1F-45C0-82B5-C89D1A9D08D4}" uniqueName="2" name="ProductID" queryTableFieldId="2"/>
    <tableColumn id="3" xr3:uid="{689961DA-AE32-4EB7-915C-8B2D3CCFE87E}" uniqueName="3" name="CustomerID" queryTableFieldId="3"/>
    <tableColumn id="4" xr3:uid="{04399EE4-29B0-45EC-B3CE-300BF0F25FB5}" uniqueName="4" name="OrderDate" queryTableFieldId="4" dataDxfId="25"/>
    <tableColumn id="5" xr3:uid="{536B007B-3452-491E-B627-F6C1277F7379}" uniqueName="5" name="OrderQty" queryTableFieldId="5"/>
    <tableColumn id="6" xr3:uid="{61F68B75-20B7-4A30-8B58-EEA74DB7B888}" uniqueName="6" name="UnitPrice" queryTableFieldId="6"/>
    <tableColumn id="8" xr3:uid="{8776CC8A-5C12-4500-8514-59A523F221E0}" uniqueName="8" name="TotalAmount" queryTableFieldId="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84DD726-726E-41F6-B0CE-BB586EDB0660}" name="vw_FactSales" displayName="vw_FactSales" ref="A1:H543" totalsRowShown="0">
  <autoFilter ref="A1:H543" xr:uid="{E84DD726-726E-41F6-B0CE-BB586EDB0660}"/>
  <tableColumns count="8">
    <tableColumn id="1" xr3:uid="{0EA247BF-2E77-429D-B3D1-01420C465B49}" name="SalesOrderID"/>
    <tableColumn id="2" xr3:uid="{9D6D86A0-568D-479D-8D11-2117A5988D86}" name="ProductID"/>
    <tableColumn id="3" xr3:uid="{36131ED6-571D-46F7-B02C-D2D17E6CBD1D}" name="CustomerID"/>
    <tableColumn id="4" xr3:uid="{20CE3814-D9BC-4549-B675-31D804AA7763}" name="OrderDate" dataDxfId="24"/>
    <tableColumn id="5" xr3:uid="{884E3764-B5FC-4A54-A69E-53BC7B0488E1}" name="OrderQty"/>
    <tableColumn id="6" xr3:uid="{410F7FF6-659A-43C2-BEFD-7B88E836B4EE}" name="UnitPrice"/>
    <tableColumn id="7" xr3:uid="{7EFB122F-36FA-4A49-BEE6-C4616C4CBA15}" name="UnitPriceDiscount"/>
    <tableColumn id="8" xr3:uid="{345164A6-468B-49E9-9231-6780267C16D5}" name="TotalAmount"/>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F23C185-2284-4D9D-99CB-C2011FF48C2A}" name="Dim_Customer" displayName="Dim_Customer" ref="A1:F408" tableType="queryTable" totalsRowShown="0">
  <autoFilter ref="A1:F408" xr:uid="{1F23C185-2284-4D9D-99CB-C2011FF48C2A}"/>
  <tableColumns count="6">
    <tableColumn id="1" xr3:uid="{5FC7CAB8-9FA6-4453-8464-E3D8E0344DD7}" uniqueName="1" name="CustomerID" queryTableFieldId="1"/>
    <tableColumn id="2" xr3:uid="{E2C411A5-BAE8-461E-B534-A2AB374A9BD7}" uniqueName="2" name="FullName" queryTableFieldId="2" dataDxfId="23"/>
    <tableColumn id="3" xr3:uid="{0ACE7FC7-0227-413C-B464-695752A8FD99}" uniqueName="3" name="EmailAddress" queryTableFieldId="3" dataDxfId="22"/>
    <tableColumn id="4" xr3:uid="{A53C64B1-BBE9-46F9-9444-1E26EDDFE658}" uniqueName="4" name="City" queryTableFieldId="4"/>
    <tableColumn id="5" xr3:uid="{7A773449-1C69-4DBF-8E4C-BB91DBA13089}" uniqueName="5" name="StateProvince" queryTableFieldId="5"/>
    <tableColumn id="6" xr3:uid="{06A1314B-0215-482D-8627-BC783C9EA526}" uniqueName="6" name="CountryRegion" queryTableFieldId="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FF9AD5-E474-4E0A-A99A-B65691428BD8}" name="vw_DimCustomer" displayName="vw_DimCustomer" ref="A1:F848" totalsRowShown="0">
  <autoFilter ref="A1:F848" xr:uid="{9FFF9AD5-E474-4E0A-A99A-B65691428BD8}"/>
  <tableColumns count="6">
    <tableColumn id="1" xr3:uid="{B39C25CF-9A6B-4DB3-AF80-74C9DCA1F492}" name="CustomerID"/>
    <tableColumn id="2" xr3:uid="{A0DF3619-D391-4EC7-8D0D-76766CA404EA}" name="FullName" dataDxfId="21"/>
    <tableColumn id="3" xr3:uid="{8B8B60A2-53EF-44C6-B6DE-702375BED560}" name="EmailAddress" dataDxfId="20"/>
    <tableColumn id="4" xr3:uid="{2514E41B-7ABD-4789-9C58-3AF6E420BAAF}" name="City" dataDxfId="19"/>
    <tableColumn id="5" xr3:uid="{2DDAA0E1-6D6E-4CCD-8952-29763D7882B5}" name="StateProvince" dataDxfId="18"/>
    <tableColumn id="6" xr3:uid="{44F1856A-A91B-4615-B639-C52B1BC90BBA}" name="CountryRegion" dataDxfId="1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41F1FB0-2BD8-4475-A176-185E217912DA}" name="Dim_Product" displayName="Dim_Product" ref="A1:G296" tableType="queryTable" totalsRowShown="0">
  <autoFilter ref="A1:G296" xr:uid="{F41F1FB0-2BD8-4475-A176-185E217912DA}"/>
  <tableColumns count="7">
    <tableColumn id="1" xr3:uid="{49456355-B447-46FC-9268-DEBD628C60F2}" uniqueName="1" name="ProductID" queryTableFieldId="1"/>
    <tableColumn id="2" xr3:uid="{BE0EE5B0-746F-4AD6-A088-85C3DF5C1549}" uniqueName="2" name="ProductName" queryTableFieldId="2" dataDxfId="16"/>
    <tableColumn id="3" xr3:uid="{CD9D20CB-1EAF-4DD4-BB6E-108FFA03AAD6}" uniqueName="3" name="Color" queryTableFieldId="3" dataDxfId="15"/>
    <tableColumn id="4" xr3:uid="{62ECD7C6-8479-4DFA-9352-686C7EA882BA}" uniqueName="4" name="Size" queryTableFieldId="4" dataDxfId="14"/>
    <tableColumn id="5" xr3:uid="{B2821DA7-5326-43F8-B163-D152D87D8C9F}" uniqueName="5" name="ListPrice" queryTableFieldId="5"/>
    <tableColumn id="6" xr3:uid="{2DC0835C-4C0E-4F3D-A2C4-A864C98B581A}" uniqueName="6" name="Category" queryTableFieldId="6" dataDxfId="13"/>
    <tableColumn id="7" xr3:uid="{1494C82F-B43C-4C8E-B48B-8CE74002C3BC}" uniqueName="7" name="Model" queryTableFieldId="7" dataDxfId="1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A94356F-6467-45ED-B87D-5ECE30BEB9BC}" name="vw_DimProduct" displayName="vw_DimProduct" ref="A1:G296" totalsRowShown="0">
  <autoFilter ref="A1:G296" xr:uid="{0A94356F-6467-45ED-B87D-5ECE30BEB9BC}"/>
  <tableColumns count="7">
    <tableColumn id="1" xr3:uid="{3B740C0D-1D7D-4CF7-A027-0FE0FED9A9B4}" name="ProductID"/>
    <tableColumn id="2" xr3:uid="{37F0DE5C-1EAB-48D6-9412-8C40C7DAE604}" name="ProductName" dataDxfId="11"/>
    <tableColumn id="3" xr3:uid="{2EF91D79-C42B-44B0-A280-0964A8892A6B}" name="Color" dataDxfId="10"/>
    <tableColumn id="4" xr3:uid="{14FD6463-ED0D-4805-9ADC-E88C1F6E483E}" name="Size" dataDxfId="9"/>
    <tableColumn id="5" xr3:uid="{8B8B0203-CD5E-4E2A-8F69-4044944C90A5}" name="ListPrice"/>
    <tableColumn id="6" xr3:uid="{D8A1AE06-214F-4D17-90C2-264B6F15E4EB}" name="Category" dataDxfId="8"/>
    <tableColumn id="7" xr3:uid="{88AC50BF-A30C-4981-B1CA-E3B35EFF4DCC}" name="Model" dataDxfId="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C908EF7-8D99-405E-979D-B3F40E000D61}" name="D_Date" displayName="D_Date" ref="A1:G732" tableType="queryTable" totalsRowShown="0">
  <autoFilter ref="A1:G732" xr:uid="{EC908EF7-8D99-405E-979D-B3F40E000D61}"/>
  <tableColumns count="7">
    <tableColumn id="8" xr3:uid="{E29F59D7-6006-4DE1-A819-54EA16051EB6}" uniqueName="8" name="Order_Date" queryTableFieldId="8" dataDxfId="6"/>
    <tableColumn id="2" xr3:uid="{F175D664-7AA2-45E1-AA64-EE477B7E4AC8}" uniqueName="2" name="Year" queryTableFieldId="2"/>
    <tableColumn id="3" xr3:uid="{C626AB46-A777-4801-9BD7-CCBBE5D90341}" uniqueName="3" name="Year_number" queryTableFieldId="3"/>
    <tableColumn id="4" xr3:uid="{9BB7D80F-49B4-4E4E-AA3D-08DF8EE473A4}" uniqueName="4" name="Month_name" queryTableFieldId="4" dataDxfId="5"/>
    <tableColumn id="5" xr3:uid="{D9AD882F-FE3C-4C61-9561-696CCB0B2DDB}" uniqueName="5" name="Quarter" queryTableFieldId="5" dataDxfId="4"/>
    <tableColumn id="6" xr3:uid="{69DD1C4B-7A43-433B-9D99-F17F007ACC87}" uniqueName="6" name="Week Number" queryTableFieldId="6"/>
    <tableColumn id="7" xr3:uid="{1F236B5F-C6C8-43D6-AF26-169E6BDFCB2E}" uniqueName="7" name="Weekday" queryTableFieldId="7" dataDxfId="3"/>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1D2EEA-D765-47EB-8A52-FE1CDC487A35}" name="Table1" displayName="Table1" ref="A1:G732" totalsRowShown="0">
  <autoFilter ref="A1:G732" xr:uid="{DC1D2EEA-D765-47EB-8A52-FE1CDC487A35}"/>
  <tableColumns count="7">
    <tableColumn id="1" xr3:uid="{652BDD90-D49D-46F5-8DB6-97F0EA605DBD}" name="Date" dataDxfId="0"/>
    <tableColumn id="2" xr3:uid="{218B6E37-F121-4DB8-AEDB-DA78EFBF2926}" name="Year"/>
    <tableColumn id="3" xr3:uid="{04C3C195-E9FE-4C16-85C7-DC7FD461FF13}" name="Year_number"/>
    <tableColumn id="4" xr3:uid="{A0E6FB66-6C42-4894-B8C5-408723BCFDD7}" name="Month_name"/>
    <tableColumn id="5" xr3:uid="{08CCC456-45E3-4101-8EB9-AE33AEEFBBEE}" name="Quarter"/>
    <tableColumn id="6" xr3:uid="{3D6B6218-2FF8-4DC8-87B1-EF8964647FE3}" name="Week Number"/>
    <tableColumn id="7" xr3:uid="{D89CE1B9-84A5-484E-BFAF-677711E21562}" name="Weekday"/>
  </tableColumns>
  <tableStyleInfo name="TableStyleMedium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14D54-CAD7-4757-AE34-311CA5DC0A1C}">
  <sheetPr>
    <tabColor rgb="FFFF0000"/>
  </sheetPr>
  <dimension ref="A1:G543"/>
  <sheetViews>
    <sheetView workbookViewId="0">
      <selection activeCell="E3" sqref="E3"/>
    </sheetView>
  </sheetViews>
  <sheetFormatPr defaultRowHeight="14.4" x14ac:dyDescent="0.55000000000000004"/>
  <cols>
    <col min="1" max="1" width="13.47265625" bestFit="1" customWidth="1"/>
    <col min="2" max="2" width="11" bestFit="1" customWidth="1"/>
    <col min="3" max="3" width="12.5234375" bestFit="1" customWidth="1"/>
    <col min="4" max="4" width="12.1015625" bestFit="1" customWidth="1"/>
    <col min="5" max="5" width="10.578125" bestFit="1" customWidth="1"/>
    <col min="6" max="6" width="10.3671875" bestFit="1" customWidth="1"/>
    <col min="7" max="8" width="13.578125" bestFit="1" customWidth="1"/>
  </cols>
  <sheetData>
    <row r="1" spans="1:7" x14ac:dyDescent="0.55000000000000004">
      <c r="A1" t="s">
        <v>0</v>
      </c>
      <c r="B1" t="s">
        <v>1</v>
      </c>
      <c r="C1" t="s">
        <v>2</v>
      </c>
      <c r="D1" t="s">
        <v>3</v>
      </c>
      <c r="E1" t="s">
        <v>4</v>
      </c>
      <c r="F1" t="s">
        <v>5</v>
      </c>
      <c r="G1" t="s">
        <v>7</v>
      </c>
    </row>
    <row r="2" spans="1:7" x14ac:dyDescent="0.55000000000000004">
      <c r="A2">
        <v>71774</v>
      </c>
      <c r="B2">
        <v>836</v>
      </c>
      <c r="C2">
        <v>29847</v>
      </c>
      <c r="D2" s="1">
        <v>39600</v>
      </c>
      <c r="E2">
        <v>1</v>
      </c>
      <c r="F2">
        <v>356.89800000000002</v>
      </c>
      <c r="G2">
        <v>356.89800000000002</v>
      </c>
    </row>
    <row r="3" spans="1:7" x14ac:dyDescent="0.55000000000000004">
      <c r="A3">
        <v>71774</v>
      </c>
      <c r="B3">
        <v>822</v>
      </c>
      <c r="C3">
        <v>29847</v>
      </c>
      <c r="D3" s="1">
        <v>39600</v>
      </c>
      <c r="E3">
        <v>1</v>
      </c>
      <c r="F3">
        <v>356.89800000000002</v>
      </c>
      <c r="G3">
        <v>356.89800000000002</v>
      </c>
    </row>
    <row r="4" spans="1:7" x14ac:dyDescent="0.55000000000000004">
      <c r="A4">
        <v>71776</v>
      </c>
      <c r="B4">
        <v>907</v>
      </c>
      <c r="C4">
        <v>30072</v>
      </c>
      <c r="D4" s="1">
        <v>39600</v>
      </c>
      <c r="E4">
        <v>1</v>
      </c>
      <c r="F4">
        <v>63.9</v>
      </c>
      <c r="G4">
        <v>63.9</v>
      </c>
    </row>
    <row r="5" spans="1:7" x14ac:dyDescent="0.55000000000000004">
      <c r="A5">
        <v>71780</v>
      </c>
      <c r="B5">
        <v>905</v>
      </c>
      <c r="C5">
        <v>30113</v>
      </c>
      <c r="D5" s="1">
        <v>39600</v>
      </c>
      <c r="E5">
        <v>4</v>
      </c>
      <c r="F5">
        <v>218.45400000000001</v>
      </c>
      <c r="G5">
        <v>873.81600000000003</v>
      </c>
    </row>
    <row r="6" spans="1:7" x14ac:dyDescent="0.55000000000000004">
      <c r="A6">
        <v>71780</v>
      </c>
      <c r="B6">
        <v>983</v>
      </c>
      <c r="C6">
        <v>30113</v>
      </c>
      <c r="D6" s="1">
        <v>39600</v>
      </c>
      <c r="E6">
        <v>2</v>
      </c>
      <c r="F6">
        <v>461.69400000000002</v>
      </c>
      <c r="G6">
        <v>923.38800000000003</v>
      </c>
    </row>
    <row r="7" spans="1:7" x14ac:dyDescent="0.55000000000000004">
      <c r="A7">
        <v>71780</v>
      </c>
      <c r="B7">
        <v>748</v>
      </c>
      <c r="C7">
        <v>30113</v>
      </c>
      <c r="D7" s="1">
        <v>39600</v>
      </c>
      <c r="E7">
        <v>2</v>
      </c>
      <c r="F7">
        <v>818.7</v>
      </c>
      <c r="G7">
        <v>1637.4</v>
      </c>
    </row>
    <row r="8" spans="1:7" x14ac:dyDescent="0.55000000000000004">
      <c r="A8">
        <v>71780</v>
      </c>
      <c r="B8">
        <v>990</v>
      </c>
      <c r="C8">
        <v>30113</v>
      </c>
      <c r="D8" s="1">
        <v>39600</v>
      </c>
      <c r="E8">
        <v>1</v>
      </c>
      <c r="F8">
        <v>323.99400000000003</v>
      </c>
      <c r="G8">
        <v>323.99400000000003</v>
      </c>
    </row>
    <row r="9" spans="1:7" x14ac:dyDescent="0.55000000000000004">
      <c r="A9">
        <v>71780</v>
      </c>
      <c r="B9">
        <v>926</v>
      </c>
      <c r="C9">
        <v>30113</v>
      </c>
      <c r="D9" s="1">
        <v>39600</v>
      </c>
      <c r="E9">
        <v>1</v>
      </c>
      <c r="F9">
        <v>149.874</v>
      </c>
      <c r="G9">
        <v>149.874</v>
      </c>
    </row>
    <row r="10" spans="1:7" x14ac:dyDescent="0.55000000000000004">
      <c r="A10">
        <v>71780</v>
      </c>
      <c r="B10">
        <v>743</v>
      </c>
      <c r="C10">
        <v>30113</v>
      </c>
      <c r="D10" s="1">
        <v>39600</v>
      </c>
      <c r="E10">
        <v>1</v>
      </c>
      <c r="F10">
        <v>809.76</v>
      </c>
      <c r="G10">
        <v>809.76</v>
      </c>
    </row>
    <row r="11" spans="1:7" x14ac:dyDescent="0.55000000000000004">
      <c r="A11">
        <v>71780</v>
      </c>
      <c r="B11">
        <v>782</v>
      </c>
      <c r="C11">
        <v>30113</v>
      </c>
      <c r="D11" s="1">
        <v>39600</v>
      </c>
      <c r="E11">
        <v>4</v>
      </c>
      <c r="F11">
        <v>1376.9939999999999</v>
      </c>
      <c r="G11">
        <v>5507.9759999999997</v>
      </c>
    </row>
    <row r="12" spans="1:7" x14ac:dyDescent="0.55000000000000004">
      <c r="A12">
        <v>71780</v>
      </c>
      <c r="B12">
        <v>918</v>
      </c>
      <c r="C12">
        <v>30113</v>
      </c>
      <c r="D12" s="1">
        <v>39600</v>
      </c>
      <c r="E12">
        <v>2</v>
      </c>
      <c r="F12">
        <v>158.43</v>
      </c>
      <c r="G12">
        <v>316.86</v>
      </c>
    </row>
    <row r="13" spans="1:7" x14ac:dyDescent="0.55000000000000004">
      <c r="A13">
        <v>71780</v>
      </c>
      <c r="B13">
        <v>780</v>
      </c>
      <c r="C13">
        <v>30113</v>
      </c>
      <c r="D13" s="1">
        <v>39600</v>
      </c>
      <c r="E13">
        <v>4</v>
      </c>
      <c r="F13">
        <v>1391.9939999999999</v>
      </c>
      <c r="G13">
        <v>5567.9759999999997</v>
      </c>
    </row>
    <row r="14" spans="1:7" x14ac:dyDescent="0.55000000000000004">
      <c r="A14">
        <v>71780</v>
      </c>
      <c r="B14">
        <v>937</v>
      </c>
      <c r="C14">
        <v>30113</v>
      </c>
      <c r="D14" s="1">
        <v>39600</v>
      </c>
      <c r="E14">
        <v>1</v>
      </c>
      <c r="F14">
        <v>48.594000000000001</v>
      </c>
      <c r="G14">
        <v>48.594000000000001</v>
      </c>
    </row>
    <row r="15" spans="1:7" x14ac:dyDescent="0.55000000000000004">
      <c r="A15">
        <v>71780</v>
      </c>
      <c r="B15">
        <v>867</v>
      </c>
      <c r="C15">
        <v>30113</v>
      </c>
      <c r="D15" s="1">
        <v>39600</v>
      </c>
      <c r="E15">
        <v>6</v>
      </c>
      <c r="F15">
        <v>41.994</v>
      </c>
      <c r="G15">
        <v>251.964</v>
      </c>
    </row>
    <row r="16" spans="1:7" x14ac:dyDescent="0.55000000000000004">
      <c r="A16">
        <v>71780</v>
      </c>
      <c r="B16">
        <v>989</v>
      </c>
      <c r="C16">
        <v>30113</v>
      </c>
      <c r="D16" s="1">
        <v>39600</v>
      </c>
      <c r="E16">
        <v>2</v>
      </c>
      <c r="F16">
        <v>323.99400000000003</v>
      </c>
      <c r="G16">
        <v>647.98800000000006</v>
      </c>
    </row>
    <row r="17" spans="1:7" x14ac:dyDescent="0.55000000000000004">
      <c r="A17">
        <v>71780</v>
      </c>
      <c r="B17">
        <v>991</v>
      </c>
      <c r="C17">
        <v>30113</v>
      </c>
      <c r="D17" s="1">
        <v>39600</v>
      </c>
      <c r="E17">
        <v>3</v>
      </c>
      <c r="F17">
        <v>323.99400000000003</v>
      </c>
      <c r="G17">
        <v>971.98199999999997</v>
      </c>
    </row>
    <row r="18" spans="1:7" x14ac:dyDescent="0.55000000000000004">
      <c r="A18">
        <v>71780</v>
      </c>
      <c r="B18">
        <v>992</v>
      </c>
      <c r="C18">
        <v>30113</v>
      </c>
      <c r="D18" s="1">
        <v>39600</v>
      </c>
      <c r="E18">
        <v>1</v>
      </c>
      <c r="F18">
        <v>323.99400000000003</v>
      </c>
      <c r="G18">
        <v>323.99400000000003</v>
      </c>
    </row>
    <row r="19" spans="1:7" x14ac:dyDescent="0.55000000000000004">
      <c r="A19">
        <v>71780</v>
      </c>
      <c r="B19">
        <v>993</v>
      </c>
      <c r="C19">
        <v>30113</v>
      </c>
      <c r="D19" s="1">
        <v>39600</v>
      </c>
      <c r="E19">
        <v>2</v>
      </c>
      <c r="F19">
        <v>323.99400000000003</v>
      </c>
      <c r="G19">
        <v>647.98800000000006</v>
      </c>
    </row>
    <row r="20" spans="1:7" x14ac:dyDescent="0.55000000000000004">
      <c r="A20">
        <v>71780</v>
      </c>
      <c r="B20">
        <v>981</v>
      </c>
      <c r="C20">
        <v>30113</v>
      </c>
      <c r="D20" s="1">
        <v>39600</v>
      </c>
      <c r="E20">
        <v>2</v>
      </c>
      <c r="F20">
        <v>461.69400000000002</v>
      </c>
      <c r="G20">
        <v>923.38800000000003</v>
      </c>
    </row>
    <row r="21" spans="1:7" x14ac:dyDescent="0.55000000000000004">
      <c r="A21">
        <v>71780</v>
      </c>
      <c r="B21">
        <v>982</v>
      </c>
      <c r="C21">
        <v>30113</v>
      </c>
      <c r="D21" s="1">
        <v>39600</v>
      </c>
      <c r="E21">
        <v>3</v>
      </c>
      <c r="F21">
        <v>461.69400000000002</v>
      </c>
      <c r="G21">
        <v>1385.0820000000001</v>
      </c>
    </row>
    <row r="22" spans="1:7" x14ac:dyDescent="0.55000000000000004">
      <c r="A22">
        <v>71780</v>
      </c>
      <c r="B22">
        <v>783</v>
      </c>
      <c r="C22">
        <v>30113</v>
      </c>
      <c r="D22" s="1">
        <v>39600</v>
      </c>
      <c r="E22">
        <v>5</v>
      </c>
      <c r="F22">
        <v>1376.9939999999999</v>
      </c>
      <c r="G22">
        <v>6884.97</v>
      </c>
    </row>
    <row r="23" spans="1:7" x14ac:dyDescent="0.55000000000000004">
      <c r="A23">
        <v>71780</v>
      </c>
      <c r="B23">
        <v>809</v>
      </c>
      <c r="C23">
        <v>30113</v>
      </c>
      <c r="D23" s="1">
        <v>39600</v>
      </c>
      <c r="E23">
        <v>3</v>
      </c>
      <c r="F23">
        <v>37.152000000000001</v>
      </c>
      <c r="G23">
        <v>111.456</v>
      </c>
    </row>
    <row r="24" spans="1:7" x14ac:dyDescent="0.55000000000000004">
      <c r="A24">
        <v>71780</v>
      </c>
      <c r="B24">
        <v>810</v>
      </c>
      <c r="C24">
        <v>30113</v>
      </c>
      <c r="D24" s="1">
        <v>39600</v>
      </c>
      <c r="E24">
        <v>1</v>
      </c>
      <c r="F24">
        <v>72.162000000000006</v>
      </c>
      <c r="G24">
        <v>72.162000000000006</v>
      </c>
    </row>
    <row r="25" spans="1:7" x14ac:dyDescent="0.55000000000000004">
      <c r="A25">
        <v>71780</v>
      </c>
      <c r="B25">
        <v>935</v>
      </c>
      <c r="C25">
        <v>30113</v>
      </c>
      <c r="D25" s="1">
        <v>39600</v>
      </c>
      <c r="E25">
        <v>2</v>
      </c>
      <c r="F25">
        <v>24.294</v>
      </c>
      <c r="G25">
        <v>48.588000000000001</v>
      </c>
    </row>
    <row r="26" spans="1:7" x14ac:dyDescent="0.55000000000000004">
      <c r="A26">
        <v>71780</v>
      </c>
      <c r="B26">
        <v>925</v>
      </c>
      <c r="C26">
        <v>30113</v>
      </c>
      <c r="D26" s="1">
        <v>39600</v>
      </c>
      <c r="E26">
        <v>1</v>
      </c>
      <c r="F26">
        <v>149.874</v>
      </c>
      <c r="G26">
        <v>149.874</v>
      </c>
    </row>
    <row r="27" spans="1:7" x14ac:dyDescent="0.55000000000000004">
      <c r="A27">
        <v>71780</v>
      </c>
      <c r="B27">
        <v>869</v>
      </c>
      <c r="C27">
        <v>30113</v>
      </c>
      <c r="D27" s="1">
        <v>39600</v>
      </c>
      <c r="E27">
        <v>7</v>
      </c>
      <c r="F27">
        <v>41.994</v>
      </c>
      <c r="G27">
        <v>293.95800000000003</v>
      </c>
    </row>
    <row r="28" spans="1:7" x14ac:dyDescent="0.55000000000000004">
      <c r="A28">
        <v>71780</v>
      </c>
      <c r="B28">
        <v>880</v>
      </c>
      <c r="C28">
        <v>30113</v>
      </c>
      <c r="D28" s="1">
        <v>39600</v>
      </c>
      <c r="E28">
        <v>1</v>
      </c>
      <c r="F28">
        <v>32.994</v>
      </c>
      <c r="G28">
        <v>32.994</v>
      </c>
    </row>
    <row r="29" spans="1:7" x14ac:dyDescent="0.55000000000000004">
      <c r="A29">
        <v>71782</v>
      </c>
      <c r="B29">
        <v>714</v>
      </c>
      <c r="C29">
        <v>29485</v>
      </c>
      <c r="D29" s="1">
        <v>39600</v>
      </c>
      <c r="E29">
        <v>3</v>
      </c>
      <c r="F29">
        <v>29.994</v>
      </c>
      <c r="G29">
        <v>89.981999999999999</v>
      </c>
    </row>
    <row r="30" spans="1:7" x14ac:dyDescent="0.55000000000000004">
      <c r="A30">
        <v>71782</v>
      </c>
      <c r="B30">
        <v>956</v>
      </c>
      <c r="C30">
        <v>29485</v>
      </c>
      <c r="D30" s="1">
        <v>39600</v>
      </c>
      <c r="E30">
        <v>3</v>
      </c>
      <c r="F30">
        <v>1430.442</v>
      </c>
      <c r="G30">
        <v>4291.326</v>
      </c>
    </row>
    <row r="31" spans="1:7" x14ac:dyDescent="0.55000000000000004">
      <c r="A31">
        <v>71782</v>
      </c>
      <c r="B31">
        <v>954</v>
      </c>
      <c r="C31">
        <v>29485</v>
      </c>
      <c r="D31" s="1">
        <v>39600</v>
      </c>
      <c r="E31">
        <v>1</v>
      </c>
      <c r="F31">
        <v>1430.442</v>
      </c>
      <c r="G31">
        <v>1430.442</v>
      </c>
    </row>
    <row r="32" spans="1:7" x14ac:dyDescent="0.55000000000000004">
      <c r="A32">
        <v>71782</v>
      </c>
      <c r="B32">
        <v>712</v>
      </c>
      <c r="C32">
        <v>29485</v>
      </c>
      <c r="D32" s="1">
        <v>39600</v>
      </c>
      <c r="E32">
        <v>10</v>
      </c>
      <c r="F32">
        <v>5.3940000000000001</v>
      </c>
      <c r="G32">
        <v>53.94</v>
      </c>
    </row>
    <row r="33" spans="1:7" x14ac:dyDescent="0.55000000000000004">
      <c r="A33">
        <v>71782</v>
      </c>
      <c r="B33">
        <v>877</v>
      </c>
      <c r="C33">
        <v>29485</v>
      </c>
      <c r="D33" s="1">
        <v>39600</v>
      </c>
      <c r="E33">
        <v>10</v>
      </c>
      <c r="F33">
        <v>4.7699999999999996</v>
      </c>
      <c r="G33">
        <v>47.7</v>
      </c>
    </row>
    <row r="34" spans="1:7" x14ac:dyDescent="0.55000000000000004">
      <c r="A34">
        <v>71782</v>
      </c>
      <c r="B34">
        <v>996</v>
      </c>
      <c r="C34">
        <v>29485</v>
      </c>
      <c r="D34" s="1">
        <v>39600</v>
      </c>
      <c r="E34">
        <v>4</v>
      </c>
      <c r="F34">
        <v>72.894000000000005</v>
      </c>
      <c r="G34">
        <v>291.57600000000002</v>
      </c>
    </row>
    <row r="35" spans="1:7" x14ac:dyDescent="0.55000000000000004">
      <c r="A35">
        <v>71782</v>
      </c>
      <c r="B35">
        <v>864</v>
      </c>
      <c r="C35">
        <v>29485</v>
      </c>
      <c r="D35" s="1">
        <v>39600</v>
      </c>
      <c r="E35">
        <v>6</v>
      </c>
      <c r="F35">
        <v>38.1</v>
      </c>
      <c r="G35">
        <v>228.6</v>
      </c>
    </row>
    <row r="36" spans="1:7" x14ac:dyDescent="0.55000000000000004">
      <c r="A36">
        <v>71782</v>
      </c>
      <c r="B36">
        <v>876</v>
      </c>
      <c r="C36">
        <v>29485</v>
      </c>
      <c r="D36" s="1">
        <v>39600</v>
      </c>
      <c r="E36">
        <v>3</v>
      </c>
      <c r="F36">
        <v>72</v>
      </c>
      <c r="G36">
        <v>216</v>
      </c>
    </row>
    <row r="37" spans="1:7" x14ac:dyDescent="0.55000000000000004">
      <c r="A37">
        <v>71782</v>
      </c>
      <c r="B37">
        <v>959</v>
      </c>
      <c r="C37">
        <v>29485</v>
      </c>
      <c r="D37" s="1">
        <v>39600</v>
      </c>
      <c r="E37">
        <v>4</v>
      </c>
      <c r="F37">
        <v>445.41</v>
      </c>
      <c r="G37">
        <v>1781.64</v>
      </c>
    </row>
    <row r="38" spans="1:7" x14ac:dyDescent="0.55000000000000004">
      <c r="A38">
        <v>71782</v>
      </c>
      <c r="B38">
        <v>971</v>
      </c>
      <c r="C38">
        <v>29485</v>
      </c>
      <c r="D38" s="1">
        <v>39600</v>
      </c>
      <c r="E38">
        <v>4</v>
      </c>
      <c r="F38">
        <v>728.91</v>
      </c>
      <c r="G38">
        <v>2915.64</v>
      </c>
    </row>
    <row r="39" spans="1:7" x14ac:dyDescent="0.55000000000000004">
      <c r="A39">
        <v>71782</v>
      </c>
      <c r="B39">
        <v>870</v>
      </c>
      <c r="C39">
        <v>29485</v>
      </c>
      <c r="D39" s="1">
        <v>39600</v>
      </c>
      <c r="E39">
        <v>6</v>
      </c>
      <c r="F39">
        <v>2.9940000000000002</v>
      </c>
      <c r="G39">
        <v>17.963999999999999</v>
      </c>
    </row>
    <row r="40" spans="1:7" x14ac:dyDescent="0.55000000000000004">
      <c r="A40">
        <v>71782</v>
      </c>
      <c r="B40">
        <v>978</v>
      </c>
      <c r="C40">
        <v>29485</v>
      </c>
      <c r="D40" s="1">
        <v>39600</v>
      </c>
      <c r="E40">
        <v>1</v>
      </c>
      <c r="F40">
        <v>445.41</v>
      </c>
      <c r="G40">
        <v>445.41</v>
      </c>
    </row>
    <row r="41" spans="1:7" x14ac:dyDescent="0.55000000000000004">
      <c r="A41">
        <v>71782</v>
      </c>
      <c r="B41">
        <v>955</v>
      </c>
      <c r="C41">
        <v>29485</v>
      </c>
      <c r="D41" s="1">
        <v>39600</v>
      </c>
      <c r="E41">
        <v>1</v>
      </c>
      <c r="F41">
        <v>1430.442</v>
      </c>
      <c r="G41">
        <v>1430.442</v>
      </c>
    </row>
    <row r="42" spans="1:7" x14ac:dyDescent="0.55000000000000004">
      <c r="A42">
        <v>71782</v>
      </c>
      <c r="B42">
        <v>948</v>
      </c>
      <c r="C42">
        <v>29485</v>
      </c>
      <c r="D42" s="1">
        <v>39600</v>
      </c>
      <c r="E42">
        <v>1</v>
      </c>
      <c r="F42">
        <v>63.9</v>
      </c>
      <c r="G42">
        <v>63.9</v>
      </c>
    </row>
    <row r="43" spans="1:7" x14ac:dyDescent="0.55000000000000004">
      <c r="A43">
        <v>71782</v>
      </c>
      <c r="B43">
        <v>994</v>
      </c>
      <c r="C43">
        <v>29485</v>
      </c>
      <c r="D43" s="1">
        <v>39600</v>
      </c>
      <c r="E43">
        <v>1</v>
      </c>
      <c r="F43">
        <v>32.393999999999998</v>
      </c>
      <c r="G43">
        <v>32.393999999999998</v>
      </c>
    </row>
    <row r="44" spans="1:7" x14ac:dyDescent="0.55000000000000004">
      <c r="A44">
        <v>71782</v>
      </c>
      <c r="B44">
        <v>970</v>
      </c>
      <c r="C44">
        <v>29485</v>
      </c>
      <c r="D44" s="1">
        <v>39600</v>
      </c>
      <c r="E44">
        <v>1</v>
      </c>
      <c r="F44">
        <v>728.91</v>
      </c>
      <c r="G44">
        <v>728.91</v>
      </c>
    </row>
    <row r="45" spans="1:7" x14ac:dyDescent="0.55000000000000004">
      <c r="A45">
        <v>71782</v>
      </c>
      <c r="B45">
        <v>966</v>
      </c>
      <c r="C45">
        <v>29485</v>
      </c>
      <c r="D45" s="1">
        <v>39600</v>
      </c>
      <c r="E45">
        <v>2</v>
      </c>
      <c r="F45">
        <v>1430.442</v>
      </c>
      <c r="G45">
        <v>2860.884</v>
      </c>
    </row>
    <row r="46" spans="1:7" x14ac:dyDescent="0.55000000000000004">
      <c r="A46">
        <v>71782</v>
      </c>
      <c r="B46">
        <v>884</v>
      </c>
      <c r="C46">
        <v>29485</v>
      </c>
      <c r="D46" s="1">
        <v>39600</v>
      </c>
      <c r="E46">
        <v>4</v>
      </c>
      <c r="F46">
        <v>32.393999999999998</v>
      </c>
      <c r="G46">
        <v>129.57599999999999</v>
      </c>
    </row>
    <row r="47" spans="1:7" x14ac:dyDescent="0.55000000000000004">
      <c r="A47">
        <v>71782</v>
      </c>
      <c r="B47">
        <v>885</v>
      </c>
      <c r="C47">
        <v>29485</v>
      </c>
      <c r="D47" s="1">
        <v>39600</v>
      </c>
      <c r="E47">
        <v>2</v>
      </c>
      <c r="F47">
        <v>602.346</v>
      </c>
      <c r="G47">
        <v>1204.692</v>
      </c>
    </row>
    <row r="48" spans="1:7" x14ac:dyDescent="0.55000000000000004">
      <c r="A48">
        <v>71782</v>
      </c>
      <c r="B48">
        <v>715</v>
      </c>
      <c r="C48">
        <v>29485</v>
      </c>
      <c r="D48" s="1">
        <v>39600</v>
      </c>
      <c r="E48">
        <v>8</v>
      </c>
      <c r="F48">
        <v>29.994</v>
      </c>
      <c r="G48">
        <v>239.952</v>
      </c>
    </row>
    <row r="49" spans="1:7" x14ac:dyDescent="0.55000000000000004">
      <c r="A49">
        <v>71782</v>
      </c>
      <c r="B49">
        <v>894</v>
      </c>
      <c r="C49">
        <v>29485</v>
      </c>
      <c r="D49" s="1">
        <v>39600</v>
      </c>
      <c r="E49">
        <v>3</v>
      </c>
      <c r="F49">
        <v>72.876000000000005</v>
      </c>
      <c r="G49">
        <v>218.62799999999999</v>
      </c>
    </row>
    <row r="50" spans="1:7" x14ac:dyDescent="0.55000000000000004">
      <c r="A50">
        <v>71782</v>
      </c>
      <c r="B50">
        <v>957</v>
      </c>
      <c r="C50">
        <v>29485</v>
      </c>
      <c r="D50" s="1">
        <v>39600</v>
      </c>
      <c r="E50">
        <v>1</v>
      </c>
      <c r="F50">
        <v>1430.442</v>
      </c>
      <c r="G50">
        <v>1430.442</v>
      </c>
    </row>
    <row r="51" spans="1:7" x14ac:dyDescent="0.55000000000000004">
      <c r="A51">
        <v>71782</v>
      </c>
      <c r="B51">
        <v>967</v>
      </c>
      <c r="C51">
        <v>29485</v>
      </c>
      <c r="D51" s="1">
        <v>39600</v>
      </c>
      <c r="E51">
        <v>2</v>
      </c>
      <c r="F51">
        <v>1430.442</v>
      </c>
      <c r="G51">
        <v>2860.884</v>
      </c>
    </row>
    <row r="52" spans="1:7" x14ac:dyDescent="0.55000000000000004">
      <c r="A52">
        <v>71782</v>
      </c>
      <c r="B52">
        <v>708</v>
      </c>
      <c r="C52">
        <v>29485</v>
      </c>
      <c r="D52" s="1">
        <v>39600</v>
      </c>
      <c r="E52">
        <v>7</v>
      </c>
      <c r="F52">
        <v>20.994</v>
      </c>
      <c r="G52">
        <v>146.958</v>
      </c>
    </row>
    <row r="53" spans="1:7" x14ac:dyDescent="0.55000000000000004">
      <c r="A53">
        <v>71782</v>
      </c>
      <c r="B53">
        <v>961</v>
      </c>
      <c r="C53">
        <v>29485</v>
      </c>
      <c r="D53" s="1">
        <v>39600</v>
      </c>
      <c r="E53">
        <v>3</v>
      </c>
      <c r="F53">
        <v>445.41</v>
      </c>
      <c r="G53">
        <v>1336.23</v>
      </c>
    </row>
    <row r="54" spans="1:7" x14ac:dyDescent="0.55000000000000004">
      <c r="A54">
        <v>71782</v>
      </c>
      <c r="B54">
        <v>979</v>
      </c>
      <c r="C54">
        <v>29485</v>
      </c>
      <c r="D54" s="1">
        <v>39600</v>
      </c>
      <c r="E54">
        <v>2</v>
      </c>
      <c r="F54">
        <v>445.41</v>
      </c>
      <c r="G54">
        <v>890.82</v>
      </c>
    </row>
    <row r="55" spans="1:7" x14ac:dyDescent="0.55000000000000004">
      <c r="A55">
        <v>71782</v>
      </c>
      <c r="B55">
        <v>958</v>
      </c>
      <c r="C55">
        <v>29485</v>
      </c>
      <c r="D55" s="1">
        <v>39600</v>
      </c>
      <c r="E55">
        <v>2</v>
      </c>
      <c r="F55">
        <v>445.41</v>
      </c>
      <c r="G55">
        <v>890.82</v>
      </c>
    </row>
    <row r="56" spans="1:7" x14ac:dyDescent="0.55000000000000004">
      <c r="A56">
        <v>71782</v>
      </c>
      <c r="B56">
        <v>963</v>
      </c>
      <c r="C56">
        <v>29485</v>
      </c>
      <c r="D56" s="1">
        <v>39600</v>
      </c>
      <c r="E56">
        <v>1</v>
      </c>
      <c r="F56">
        <v>445.41</v>
      </c>
      <c r="G56">
        <v>445.41</v>
      </c>
    </row>
    <row r="57" spans="1:7" x14ac:dyDescent="0.55000000000000004">
      <c r="A57">
        <v>71782</v>
      </c>
      <c r="B57">
        <v>953</v>
      </c>
      <c r="C57">
        <v>29485</v>
      </c>
      <c r="D57" s="1">
        <v>39600</v>
      </c>
      <c r="E57">
        <v>1</v>
      </c>
      <c r="F57">
        <v>728.91</v>
      </c>
      <c r="G57">
        <v>728.91</v>
      </c>
    </row>
    <row r="58" spans="1:7" x14ac:dyDescent="0.55000000000000004">
      <c r="A58">
        <v>71782</v>
      </c>
      <c r="B58">
        <v>968</v>
      </c>
      <c r="C58">
        <v>29485</v>
      </c>
      <c r="D58" s="1">
        <v>39600</v>
      </c>
      <c r="E58">
        <v>2</v>
      </c>
      <c r="F58">
        <v>1430.442</v>
      </c>
      <c r="G58">
        <v>2860.884</v>
      </c>
    </row>
    <row r="59" spans="1:7" x14ac:dyDescent="0.55000000000000004">
      <c r="A59">
        <v>71782</v>
      </c>
      <c r="B59">
        <v>951</v>
      </c>
      <c r="C59">
        <v>29485</v>
      </c>
      <c r="D59" s="1">
        <v>39600</v>
      </c>
      <c r="E59">
        <v>2</v>
      </c>
      <c r="F59">
        <v>242.994</v>
      </c>
      <c r="G59">
        <v>485.988</v>
      </c>
    </row>
    <row r="60" spans="1:7" x14ac:dyDescent="0.55000000000000004">
      <c r="A60">
        <v>71782</v>
      </c>
      <c r="B60">
        <v>945</v>
      </c>
      <c r="C60">
        <v>29485</v>
      </c>
      <c r="D60" s="1">
        <v>39600</v>
      </c>
      <c r="E60">
        <v>2</v>
      </c>
      <c r="F60">
        <v>54.893999999999998</v>
      </c>
      <c r="G60">
        <v>109.788</v>
      </c>
    </row>
    <row r="61" spans="1:7" x14ac:dyDescent="0.55000000000000004">
      <c r="A61">
        <v>71782</v>
      </c>
      <c r="B61">
        <v>916</v>
      </c>
      <c r="C61">
        <v>29485</v>
      </c>
      <c r="D61" s="1">
        <v>39600</v>
      </c>
      <c r="E61">
        <v>1</v>
      </c>
      <c r="F61">
        <v>31.584</v>
      </c>
      <c r="G61">
        <v>31.584</v>
      </c>
    </row>
    <row r="62" spans="1:7" x14ac:dyDescent="0.55000000000000004">
      <c r="A62">
        <v>71782</v>
      </c>
      <c r="B62">
        <v>886</v>
      </c>
      <c r="C62">
        <v>29485</v>
      </c>
      <c r="D62" s="1">
        <v>39600</v>
      </c>
      <c r="E62">
        <v>1</v>
      </c>
      <c r="F62">
        <v>200.05199999999999</v>
      </c>
      <c r="G62">
        <v>200.05199999999999</v>
      </c>
    </row>
    <row r="63" spans="1:7" x14ac:dyDescent="0.55000000000000004">
      <c r="A63">
        <v>71782</v>
      </c>
      <c r="B63">
        <v>892</v>
      </c>
      <c r="C63">
        <v>29485</v>
      </c>
      <c r="D63" s="1">
        <v>39600</v>
      </c>
      <c r="E63">
        <v>1</v>
      </c>
      <c r="F63">
        <v>602.346</v>
      </c>
      <c r="G63">
        <v>602.346</v>
      </c>
    </row>
    <row r="64" spans="1:7" x14ac:dyDescent="0.55000000000000004">
      <c r="A64">
        <v>71782</v>
      </c>
      <c r="B64">
        <v>893</v>
      </c>
      <c r="C64">
        <v>29485</v>
      </c>
      <c r="D64" s="1">
        <v>39600</v>
      </c>
      <c r="E64">
        <v>1</v>
      </c>
      <c r="F64">
        <v>602.346</v>
      </c>
      <c r="G64">
        <v>602.346</v>
      </c>
    </row>
    <row r="65" spans="1:7" x14ac:dyDescent="0.55000000000000004">
      <c r="A65">
        <v>71782</v>
      </c>
      <c r="B65">
        <v>881</v>
      </c>
      <c r="C65">
        <v>29485</v>
      </c>
      <c r="D65" s="1">
        <v>39600</v>
      </c>
      <c r="E65">
        <v>6</v>
      </c>
      <c r="F65">
        <v>32.393999999999998</v>
      </c>
      <c r="G65">
        <v>194.364</v>
      </c>
    </row>
    <row r="66" spans="1:7" x14ac:dyDescent="0.55000000000000004">
      <c r="A66">
        <v>71782</v>
      </c>
      <c r="B66">
        <v>883</v>
      </c>
      <c r="C66">
        <v>29485</v>
      </c>
      <c r="D66" s="1">
        <v>39600</v>
      </c>
      <c r="E66">
        <v>4</v>
      </c>
      <c r="F66">
        <v>32.393999999999998</v>
      </c>
      <c r="G66">
        <v>129.57599999999999</v>
      </c>
    </row>
    <row r="67" spans="1:7" x14ac:dyDescent="0.55000000000000004">
      <c r="A67">
        <v>71782</v>
      </c>
      <c r="B67">
        <v>859</v>
      </c>
      <c r="C67">
        <v>29485</v>
      </c>
      <c r="D67" s="1">
        <v>39600</v>
      </c>
      <c r="E67">
        <v>1</v>
      </c>
      <c r="F67">
        <v>14.694000000000001</v>
      </c>
      <c r="G67">
        <v>14.694000000000001</v>
      </c>
    </row>
    <row r="68" spans="1:7" x14ac:dyDescent="0.55000000000000004">
      <c r="A68">
        <v>71782</v>
      </c>
      <c r="B68">
        <v>865</v>
      </c>
      <c r="C68">
        <v>29485</v>
      </c>
      <c r="D68" s="1">
        <v>39600</v>
      </c>
      <c r="E68">
        <v>4</v>
      </c>
      <c r="F68">
        <v>38.1</v>
      </c>
      <c r="G68">
        <v>152.4</v>
      </c>
    </row>
    <row r="69" spans="1:7" x14ac:dyDescent="0.55000000000000004">
      <c r="A69">
        <v>71782</v>
      </c>
      <c r="B69">
        <v>880</v>
      </c>
      <c r="C69">
        <v>29485</v>
      </c>
      <c r="D69" s="1">
        <v>39600</v>
      </c>
      <c r="E69">
        <v>9</v>
      </c>
      <c r="F69">
        <v>32.994</v>
      </c>
      <c r="G69">
        <v>296.94600000000003</v>
      </c>
    </row>
    <row r="70" spans="1:7" x14ac:dyDescent="0.55000000000000004">
      <c r="A70">
        <v>71782</v>
      </c>
      <c r="B70">
        <v>711</v>
      </c>
      <c r="C70">
        <v>29485</v>
      </c>
      <c r="D70" s="1">
        <v>39600</v>
      </c>
      <c r="E70">
        <v>6</v>
      </c>
      <c r="F70">
        <v>20.994</v>
      </c>
      <c r="G70">
        <v>125.964</v>
      </c>
    </row>
    <row r="71" spans="1:7" x14ac:dyDescent="0.55000000000000004">
      <c r="A71">
        <v>71782</v>
      </c>
      <c r="B71">
        <v>707</v>
      </c>
      <c r="C71">
        <v>29485</v>
      </c>
      <c r="D71" s="1">
        <v>39600</v>
      </c>
      <c r="E71">
        <v>3</v>
      </c>
      <c r="F71">
        <v>20.994</v>
      </c>
      <c r="G71">
        <v>62.981999999999999</v>
      </c>
    </row>
    <row r="72" spans="1:7" x14ac:dyDescent="0.55000000000000004">
      <c r="A72">
        <v>71783</v>
      </c>
      <c r="B72">
        <v>738</v>
      </c>
      <c r="C72">
        <v>29957</v>
      </c>
      <c r="D72" s="1">
        <v>39600</v>
      </c>
      <c r="E72">
        <v>4</v>
      </c>
      <c r="F72">
        <v>202.33199999999999</v>
      </c>
      <c r="G72">
        <v>809.32799999999997</v>
      </c>
    </row>
    <row r="73" spans="1:7" x14ac:dyDescent="0.55000000000000004">
      <c r="A73">
        <v>71783</v>
      </c>
      <c r="B73">
        <v>939</v>
      </c>
      <c r="C73">
        <v>29957</v>
      </c>
      <c r="D73" s="1">
        <v>39600</v>
      </c>
      <c r="E73">
        <v>6</v>
      </c>
      <c r="F73">
        <v>37.253999999999998</v>
      </c>
      <c r="G73">
        <v>223.524</v>
      </c>
    </row>
    <row r="74" spans="1:7" x14ac:dyDescent="0.55000000000000004">
      <c r="A74">
        <v>71783</v>
      </c>
      <c r="B74">
        <v>793</v>
      </c>
      <c r="C74">
        <v>29957</v>
      </c>
      <c r="D74" s="1">
        <v>39600</v>
      </c>
      <c r="E74">
        <v>3</v>
      </c>
      <c r="F74">
        <v>1466.01</v>
      </c>
      <c r="G74">
        <v>4398.03</v>
      </c>
    </row>
    <row r="75" spans="1:7" x14ac:dyDescent="0.55000000000000004">
      <c r="A75">
        <v>71783</v>
      </c>
      <c r="B75">
        <v>977</v>
      </c>
      <c r="C75">
        <v>29957</v>
      </c>
      <c r="D75" s="1">
        <v>39600</v>
      </c>
      <c r="E75">
        <v>4</v>
      </c>
      <c r="F75">
        <v>323.99400000000003</v>
      </c>
      <c r="G75">
        <v>1295.9760000000001</v>
      </c>
    </row>
    <row r="76" spans="1:7" x14ac:dyDescent="0.55000000000000004">
      <c r="A76">
        <v>71783</v>
      </c>
      <c r="B76">
        <v>880</v>
      </c>
      <c r="C76">
        <v>29957</v>
      </c>
      <c r="D76" s="1">
        <v>39600</v>
      </c>
      <c r="E76">
        <v>9</v>
      </c>
      <c r="F76">
        <v>32.994</v>
      </c>
      <c r="G76">
        <v>296.94600000000003</v>
      </c>
    </row>
    <row r="77" spans="1:7" x14ac:dyDescent="0.55000000000000004">
      <c r="A77">
        <v>71783</v>
      </c>
      <c r="B77">
        <v>859</v>
      </c>
      <c r="C77">
        <v>29957</v>
      </c>
      <c r="D77" s="1">
        <v>39600</v>
      </c>
      <c r="E77">
        <v>7</v>
      </c>
      <c r="F77">
        <v>14.694000000000001</v>
      </c>
      <c r="G77">
        <v>102.858</v>
      </c>
    </row>
    <row r="78" spans="1:7" x14ac:dyDescent="0.55000000000000004">
      <c r="A78">
        <v>71783</v>
      </c>
      <c r="B78">
        <v>714</v>
      </c>
      <c r="C78">
        <v>29957</v>
      </c>
      <c r="D78" s="1">
        <v>39600</v>
      </c>
      <c r="E78">
        <v>6</v>
      </c>
      <c r="F78">
        <v>29.994</v>
      </c>
      <c r="G78">
        <v>179.964</v>
      </c>
    </row>
    <row r="79" spans="1:7" x14ac:dyDescent="0.55000000000000004">
      <c r="A79">
        <v>71783</v>
      </c>
      <c r="B79">
        <v>877</v>
      </c>
      <c r="C79">
        <v>29957</v>
      </c>
      <c r="D79" s="1">
        <v>39600</v>
      </c>
      <c r="E79">
        <v>8</v>
      </c>
      <c r="F79">
        <v>4.7699999999999996</v>
      </c>
      <c r="G79">
        <v>38.159999999999997</v>
      </c>
    </row>
    <row r="80" spans="1:7" x14ac:dyDescent="0.55000000000000004">
      <c r="A80">
        <v>71783</v>
      </c>
      <c r="B80">
        <v>813</v>
      </c>
      <c r="C80">
        <v>29957</v>
      </c>
      <c r="D80" s="1">
        <v>39600</v>
      </c>
      <c r="E80">
        <v>1</v>
      </c>
      <c r="F80">
        <v>72.162000000000006</v>
      </c>
      <c r="G80">
        <v>72.162000000000006</v>
      </c>
    </row>
    <row r="81" spans="1:7" x14ac:dyDescent="0.55000000000000004">
      <c r="A81">
        <v>71783</v>
      </c>
      <c r="B81">
        <v>881</v>
      </c>
      <c r="C81">
        <v>29957</v>
      </c>
      <c r="D81" s="1">
        <v>39600</v>
      </c>
      <c r="E81">
        <v>6</v>
      </c>
      <c r="F81">
        <v>32.393999999999998</v>
      </c>
      <c r="G81">
        <v>194.364</v>
      </c>
    </row>
    <row r="82" spans="1:7" x14ac:dyDescent="0.55000000000000004">
      <c r="A82">
        <v>71783</v>
      </c>
      <c r="B82">
        <v>873</v>
      </c>
      <c r="C82">
        <v>29957</v>
      </c>
      <c r="D82" s="1">
        <v>39600</v>
      </c>
      <c r="E82">
        <v>6</v>
      </c>
      <c r="F82">
        <v>1.3740000000000001</v>
      </c>
      <c r="G82">
        <v>8.2439999999999998</v>
      </c>
    </row>
    <row r="83" spans="1:7" x14ac:dyDescent="0.55000000000000004">
      <c r="A83">
        <v>71783</v>
      </c>
      <c r="B83">
        <v>870</v>
      </c>
      <c r="C83">
        <v>29957</v>
      </c>
      <c r="D83" s="1">
        <v>39600</v>
      </c>
      <c r="E83">
        <v>10</v>
      </c>
      <c r="F83">
        <v>2.9940000000000002</v>
      </c>
      <c r="G83">
        <v>29.94</v>
      </c>
    </row>
    <row r="84" spans="1:7" x14ac:dyDescent="0.55000000000000004">
      <c r="A84">
        <v>71783</v>
      </c>
      <c r="B84">
        <v>822</v>
      </c>
      <c r="C84">
        <v>29957</v>
      </c>
      <c r="D84" s="1">
        <v>39600</v>
      </c>
      <c r="E84">
        <v>1</v>
      </c>
      <c r="F84">
        <v>356.89800000000002</v>
      </c>
      <c r="G84">
        <v>356.89800000000002</v>
      </c>
    </row>
    <row r="85" spans="1:7" x14ac:dyDescent="0.55000000000000004">
      <c r="A85">
        <v>71783</v>
      </c>
      <c r="B85">
        <v>799</v>
      </c>
      <c r="C85">
        <v>29957</v>
      </c>
      <c r="D85" s="1">
        <v>39600</v>
      </c>
      <c r="E85">
        <v>1</v>
      </c>
      <c r="F85">
        <v>672.29399999999998</v>
      </c>
      <c r="G85">
        <v>672.29399999999998</v>
      </c>
    </row>
    <row r="86" spans="1:7" x14ac:dyDescent="0.55000000000000004">
      <c r="A86">
        <v>71783</v>
      </c>
      <c r="B86">
        <v>858</v>
      </c>
      <c r="C86">
        <v>29957</v>
      </c>
      <c r="D86" s="1">
        <v>39600</v>
      </c>
      <c r="E86">
        <v>2</v>
      </c>
      <c r="F86">
        <v>14.694000000000001</v>
      </c>
      <c r="G86">
        <v>29.388000000000002</v>
      </c>
    </row>
    <row r="87" spans="1:7" x14ac:dyDescent="0.55000000000000004">
      <c r="A87">
        <v>71783</v>
      </c>
      <c r="B87">
        <v>860</v>
      </c>
      <c r="C87">
        <v>29957</v>
      </c>
      <c r="D87" s="1">
        <v>39600</v>
      </c>
      <c r="E87">
        <v>9</v>
      </c>
      <c r="F87">
        <v>14.694000000000001</v>
      </c>
      <c r="G87">
        <v>132.24600000000001</v>
      </c>
    </row>
    <row r="88" spans="1:7" x14ac:dyDescent="0.55000000000000004">
      <c r="A88">
        <v>71783</v>
      </c>
      <c r="B88">
        <v>938</v>
      </c>
      <c r="C88">
        <v>29957</v>
      </c>
      <c r="D88" s="1">
        <v>39600</v>
      </c>
      <c r="E88">
        <v>3</v>
      </c>
      <c r="F88">
        <v>24.294</v>
      </c>
      <c r="G88">
        <v>72.882000000000005</v>
      </c>
    </row>
    <row r="89" spans="1:7" x14ac:dyDescent="0.55000000000000004">
      <c r="A89">
        <v>71783</v>
      </c>
      <c r="B89">
        <v>722</v>
      </c>
      <c r="C89">
        <v>29957</v>
      </c>
      <c r="D89" s="1">
        <v>39600</v>
      </c>
      <c r="E89">
        <v>6</v>
      </c>
      <c r="F89">
        <v>202.33199999999999</v>
      </c>
      <c r="G89">
        <v>1213.992</v>
      </c>
    </row>
    <row r="90" spans="1:7" x14ac:dyDescent="0.55000000000000004">
      <c r="A90">
        <v>71783</v>
      </c>
      <c r="B90">
        <v>884</v>
      </c>
      <c r="C90">
        <v>29957</v>
      </c>
      <c r="D90" s="1">
        <v>39600</v>
      </c>
      <c r="E90">
        <v>9</v>
      </c>
      <c r="F90">
        <v>32.393999999999998</v>
      </c>
      <c r="G90">
        <v>291.54599999999999</v>
      </c>
    </row>
    <row r="91" spans="1:7" x14ac:dyDescent="0.55000000000000004">
      <c r="A91">
        <v>71783</v>
      </c>
      <c r="B91">
        <v>998</v>
      </c>
      <c r="C91">
        <v>29957</v>
      </c>
      <c r="D91" s="1">
        <v>39600</v>
      </c>
      <c r="E91">
        <v>7</v>
      </c>
      <c r="F91">
        <v>323.99400000000003</v>
      </c>
      <c r="G91">
        <v>2267.9580000000001</v>
      </c>
    </row>
    <row r="92" spans="1:7" x14ac:dyDescent="0.55000000000000004">
      <c r="A92">
        <v>71783</v>
      </c>
      <c r="B92">
        <v>999</v>
      </c>
      <c r="C92">
        <v>29957</v>
      </c>
      <c r="D92" s="1">
        <v>39600</v>
      </c>
      <c r="E92">
        <v>5</v>
      </c>
      <c r="F92">
        <v>323.99400000000003</v>
      </c>
      <c r="G92">
        <v>1619.97</v>
      </c>
    </row>
    <row r="93" spans="1:7" x14ac:dyDescent="0.55000000000000004">
      <c r="A93">
        <v>71783</v>
      </c>
      <c r="B93">
        <v>797</v>
      </c>
      <c r="C93">
        <v>29957</v>
      </c>
      <c r="D93" s="1">
        <v>39600</v>
      </c>
      <c r="E93">
        <v>4</v>
      </c>
      <c r="F93">
        <v>672.29399999999998</v>
      </c>
      <c r="G93">
        <v>2689.1759999999999</v>
      </c>
    </row>
    <row r="94" spans="1:7" x14ac:dyDescent="0.55000000000000004">
      <c r="A94">
        <v>71783</v>
      </c>
      <c r="B94">
        <v>798</v>
      </c>
      <c r="C94">
        <v>29957</v>
      </c>
      <c r="D94" s="1">
        <v>39600</v>
      </c>
      <c r="E94">
        <v>1</v>
      </c>
      <c r="F94">
        <v>672.29399999999998</v>
      </c>
      <c r="G94">
        <v>672.29399999999998</v>
      </c>
    </row>
    <row r="95" spans="1:7" x14ac:dyDescent="0.55000000000000004">
      <c r="A95">
        <v>71783</v>
      </c>
      <c r="B95">
        <v>801</v>
      </c>
      <c r="C95">
        <v>29957</v>
      </c>
      <c r="D95" s="1">
        <v>39600</v>
      </c>
      <c r="E95">
        <v>1</v>
      </c>
      <c r="F95">
        <v>672.29399999999998</v>
      </c>
      <c r="G95">
        <v>672.29399999999998</v>
      </c>
    </row>
    <row r="96" spans="1:7" x14ac:dyDescent="0.55000000000000004">
      <c r="A96">
        <v>71783</v>
      </c>
      <c r="B96">
        <v>973</v>
      </c>
      <c r="C96">
        <v>29957</v>
      </c>
      <c r="D96" s="1">
        <v>39600</v>
      </c>
      <c r="E96">
        <v>5</v>
      </c>
      <c r="F96">
        <v>1020.5940000000001</v>
      </c>
      <c r="G96">
        <v>5102.97</v>
      </c>
    </row>
    <row r="97" spans="1:7" x14ac:dyDescent="0.55000000000000004">
      <c r="A97">
        <v>71783</v>
      </c>
      <c r="B97">
        <v>940</v>
      </c>
      <c r="C97">
        <v>29957</v>
      </c>
      <c r="D97" s="1">
        <v>39600</v>
      </c>
      <c r="E97">
        <v>4</v>
      </c>
      <c r="F97">
        <v>48.594000000000001</v>
      </c>
      <c r="G97">
        <v>194.376</v>
      </c>
    </row>
    <row r="98" spans="1:7" x14ac:dyDescent="0.55000000000000004">
      <c r="A98">
        <v>71783</v>
      </c>
      <c r="B98">
        <v>835</v>
      </c>
      <c r="C98">
        <v>29957</v>
      </c>
      <c r="D98" s="1">
        <v>39600</v>
      </c>
      <c r="E98">
        <v>3</v>
      </c>
      <c r="F98">
        <v>356.89800000000002</v>
      </c>
      <c r="G98">
        <v>1070.694</v>
      </c>
    </row>
    <row r="99" spans="1:7" x14ac:dyDescent="0.55000000000000004">
      <c r="A99">
        <v>71783</v>
      </c>
      <c r="B99">
        <v>836</v>
      </c>
      <c r="C99">
        <v>29957</v>
      </c>
      <c r="D99" s="1">
        <v>39600</v>
      </c>
      <c r="E99">
        <v>4</v>
      </c>
      <c r="F99">
        <v>356.89800000000002</v>
      </c>
      <c r="G99">
        <v>1427.5920000000001</v>
      </c>
    </row>
    <row r="100" spans="1:7" x14ac:dyDescent="0.55000000000000004">
      <c r="A100">
        <v>71783</v>
      </c>
      <c r="B100">
        <v>838</v>
      </c>
      <c r="C100">
        <v>29957</v>
      </c>
      <c r="D100" s="1">
        <v>39600</v>
      </c>
      <c r="E100">
        <v>4</v>
      </c>
      <c r="F100">
        <v>858.9</v>
      </c>
      <c r="G100">
        <v>3435.6</v>
      </c>
    </row>
    <row r="101" spans="1:7" x14ac:dyDescent="0.55000000000000004">
      <c r="A101">
        <v>71783</v>
      </c>
      <c r="B101">
        <v>718</v>
      </c>
      <c r="C101">
        <v>29957</v>
      </c>
      <c r="D101" s="1">
        <v>39600</v>
      </c>
      <c r="E101">
        <v>2</v>
      </c>
      <c r="F101">
        <v>858.9</v>
      </c>
      <c r="G101">
        <v>1717.8</v>
      </c>
    </row>
    <row r="102" spans="1:7" x14ac:dyDescent="0.55000000000000004">
      <c r="A102">
        <v>71783</v>
      </c>
      <c r="B102">
        <v>716</v>
      </c>
      <c r="C102">
        <v>29957</v>
      </c>
      <c r="D102" s="1">
        <v>39600</v>
      </c>
      <c r="E102">
        <v>4</v>
      </c>
      <c r="F102">
        <v>29.994</v>
      </c>
      <c r="G102">
        <v>119.976</v>
      </c>
    </row>
    <row r="103" spans="1:7" x14ac:dyDescent="0.55000000000000004">
      <c r="A103">
        <v>71783</v>
      </c>
      <c r="B103">
        <v>875</v>
      </c>
      <c r="C103">
        <v>29957</v>
      </c>
      <c r="D103" s="1">
        <v>39600</v>
      </c>
      <c r="E103">
        <v>1</v>
      </c>
      <c r="F103">
        <v>5.3940000000000001</v>
      </c>
      <c r="G103">
        <v>5.3940000000000001</v>
      </c>
    </row>
    <row r="104" spans="1:7" x14ac:dyDescent="0.55000000000000004">
      <c r="A104">
        <v>71783</v>
      </c>
      <c r="B104">
        <v>865</v>
      </c>
      <c r="C104">
        <v>29957</v>
      </c>
      <c r="D104" s="1">
        <v>39600</v>
      </c>
      <c r="E104">
        <v>10</v>
      </c>
      <c r="F104">
        <v>38.1</v>
      </c>
      <c r="G104">
        <v>381</v>
      </c>
    </row>
    <row r="105" spans="1:7" x14ac:dyDescent="0.55000000000000004">
      <c r="A105">
        <v>71783</v>
      </c>
      <c r="B105">
        <v>876</v>
      </c>
      <c r="C105">
        <v>29957</v>
      </c>
      <c r="D105" s="1">
        <v>39600</v>
      </c>
      <c r="E105">
        <v>2</v>
      </c>
      <c r="F105">
        <v>72</v>
      </c>
      <c r="G105">
        <v>144</v>
      </c>
    </row>
    <row r="106" spans="1:7" x14ac:dyDescent="0.55000000000000004">
      <c r="A106">
        <v>71783</v>
      </c>
      <c r="B106">
        <v>707</v>
      </c>
      <c r="C106">
        <v>29957</v>
      </c>
      <c r="D106" s="1">
        <v>39600</v>
      </c>
      <c r="E106">
        <v>10</v>
      </c>
      <c r="F106">
        <v>20.994</v>
      </c>
      <c r="G106">
        <v>209.94</v>
      </c>
    </row>
    <row r="107" spans="1:7" x14ac:dyDescent="0.55000000000000004">
      <c r="A107">
        <v>71784</v>
      </c>
      <c r="B107">
        <v>711</v>
      </c>
      <c r="C107">
        <v>29736</v>
      </c>
      <c r="D107" s="1">
        <v>39600</v>
      </c>
      <c r="E107">
        <v>2</v>
      </c>
      <c r="F107">
        <v>20.994</v>
      </c>
      <c r="G107">
        <v>41.988</v>
      </c>
    </row>
    <row r="108" spans="1:7" x14ac:dyDescent="0.55000000000000004">
      <c r="A108">
        <v>71784</v>
      </c>
      <c r="B108">
        <v>885</v>
      </c>
      <c r="C108">
        <v>29736</v>
      </c>
      <c r="D108" s="1">
        <v>39600</v>
      </c>
      <c r="E108">
        <v>8</v>
      </c>
      <c r="F108">
        <v>602.346</v>
      </c>
      <c r="G108">
        <v>4818.768</v>
      </c>
    </row>
    <row r="109" spans="1:7" x14ac:dyDescent="0.55000000000000004">
      <c r="A109">
        <v>71784</v>
      </c>
      <c r="B109">
        <v>954</v>
      </c>
      <c r="C109">
        <v>29736</v>
      </c>
      <c r="D109" s="1">
        <v>39600</v>
      </c>
      <c r="E109">
        <v>2</v>
      </c>
      <c r="F109">
        <v>1430.442</v>
      </c>
      <c r="G109">
        <v>2860.884</v>
      </c>
    </row>
    <row r="110" spans="1:7" x14ac:dyDescent="0.55000000000000004">
      <c r="A110">
        <v>71784</v>
      </c>
      <c r="B110">
        <v>865</v>
      </c>
      <c r="C110">
        <v>29736</v>
      </c>
      <c r="D110" s="1">
        <v>39600</v>
      </c>
      <c r="E110">
        <v>8</v>
      </c>
      <c r="F110">
        <v>38.1</v>
      </c>
      <c r="G110">
        <v>304.8</v>
      </c>
    </row>
    <row r="111" spans="1:7" x14ac:dyDescent="0.55000000000000004">
      <c r="A111">
        <v>71784</v>
      </c>
      <c r="B111">
        <v>970</v>
      </c>
      <c r="C111">
        <v>29736</v>
      </c>
      <c r="D111" s="1">
        <v>39600</v>
      </c>
      <c r="E111">
        <v>4</v>
      </c>
      <c r="F111">
        <v>728.91</v>
      </c>
      <c r="G111">
        <v>2915.64</v>
      </c>
    </row>
    <row r="112" spans="1:7" x14ac:dyDescent="0.55000000000000004">
      <c r="A112">
        <v>71784</v>
      </c>
      <c r="B112">
        <v>959</v>
      </c>
      <c r="C112">
        <v>29736</v>
      </c>
      <c r="D112" s="1">
        <v>39600</v>
      </c>
      <c r="E112">
        <v>1</v>
      </c>
      <c r="F112">
        <v>445.41</v>
      </c>
      <c r="G112">
        <v>445.41</v>
      </c>
    </row>
    <row r="113" spans="1:7" x14ac:dyDescent="0.55000000000000004">
      <c r="A113">
        <v>71784</v>
      </c>
      <c r="B113">
        <v>714</v>
      </c>
      <c r="C113">
        <v>29736</v>
      </c>
      <c r="D113" s="1">
        <v>39600</v>
      </c>
      <c r="E113">
        <v>9</v>
      </c>
      <c r="F113">
        <v>29.994</v>
      </c>
      <c r="G113">
        <v>269.94600000000003</v>
      </c>
    </row>
    <row r="114" spans="1:7" x14ac:dyDescent="0.55000000000000004">
      <c r="A114">
        <v>71784</v>
      </c>
      <c r="B114">
        <v>712</v>
      </c>
      <c r="C114">
        <v>29736</v>
      </c>
      <c r="D114" s="1">
        <v>39600</v>
      </c>
      <c r="E114">
        <v>10</v>
      </c>
      <c r="F114">
        <v>5.3940000000000001</v>
      </c>
      <c r="G114">
        <v>53.94</v>
      </c>
    </row>
    <row r="115" spans="1:7" x14ac:dyDescent="0.55000000000000004">
      <c r="A115">
        <v>71784</v>
      </c>
      <c r="B115">
        <v>972</v>
      </c>
      <c r="C115">
        <v>29736</v>
      </c>
      <c r="D115" s="1">
        <v>39600</v>
      </c>
      <c r="E115">
        <v>4</v>
      </c>
      <c r="F115">
        <v>728.91</v>
      </c>
      <c r="G115">
        <v>2915.64</v>
      </c>
    </row>
    <row r="116" spans="1:7" x14ac:dyDescent="0.55000000000000004">
      <c r="A116">
        <v>71784</v>
      </c>
      <c r="B116">
        <v>877</v>
      </c>
      <c r="C116">
        <v>29736</v>
      </c>
      <c r="D116" s="1">
        <v>39600</v>
      </c>
      <c r="E116">
        <v>8</v>
      </c>
      <c r="F116">
        <v>4.7699999999999996</v>
      </c>
      <c r="G116">
        <v>38.159999999999997</v>
      </c>
    </row>
    <row r="117" spans="1:7" x14ac:dyDescent="0.55000000000000004">
      <c r="A117">
        <v>71784</v>
      </c>
      <c r="B117">
        <v>716</v>
      </c>
      <c r="C117">
        <v>29736</v>
      </c>
      <c r="D117" s="1">
        <v>39600</v>
      </c>
      <c r="E117">
        <v>5</v>
      </c>
      <c r="F117">
        <v>29.994</v>
      </c>
      <c r="G117">
        <v>149.97</v>
      </c>
    </row>
    <row r="118" spans="1:7" x14ac:dyDescent="0.55000000000000004">
      <c r="A118">
        <v>71784</v>
      </c>
      <c r="B118">
        <v>958</v>
      </c>
      <c r="C118">
        <v>29736</v>
      </c>
      <c r="D118" s="1">
        <v>39600</v>
      </c>
      <c r="E118">
        <v>6</v>
      </c>
      <c r="F118">
        <v>445.41</v>
      </c>
      <c r="G118">
        <v>2672.46</v>
      </c>
    </row>
    <row r="119" spans="1:7" x14ac:dyDescent="0.55000000000000004">
      <c r="A119">
        <v>71784</v>
      </c>
      <c r="B119">
        <v>876</v>
      </c>
      <c r="C119">
        <v>29736</v>
      </c>
      <c r="D119" s="1">
        <v>39600</v>
      </c>
      <c r="E119">
        <v>6</v>
      </c>
      <c r="F119">
        <v>72</v>
      </c>
      <c r="G119">
        <v>432</v>
      </c>
    </row>
    <row r="120" spans="1:7" x14ac:dyDescent="0.55000000000000004">
      <c r="A120">
        <v>71784</v>
      </c>
      <c r="B120">
        <v>899</v>
      </c>
      <c r="C120">
        <v>29736</v>
      </c>
      <c r="D120" s="1">
        <v>39600</v>
      </c>
      <c r="E120">
        <v>2</v>
      </c>
      <c r="F120">
        <v>200.05199999999999</v>
      </c>
      <c r="G120">
        <v>400.10399999999998</v>
      </c>
    </row>
    <row r="121" spans="1:7" x14ac:dyDescent="0.55000000000000004">
      <c r="A121">
        <v>71784</v>
      </c>
      <c r="B121">
        <v>858</v>
      </c>
      <c r="C121">
        <v>29736</v>
      </c>
      <c r="D121" s="1">
        <v>39600</v>
      </c>
      <c r="E121">
        <v>6</v>
      </c>
      <c r="F121">
        <v>14.694000000000001</v>
      </c>
      <c r="G121">
        <v>88.164000000000001</v>
      </c>
    </row>
    <row r="122" spans="1:7" x14ac:dyDescent="0.55000000000000004">
      <c r="A122">
        <v>71784</v>
      </c>
      <c r="B122">
        <v>889</v>
      </c>
      <c r="C122">
        <v>29736</v>
      </c>
      <c r="D122" s="1">
        <v>39600</v>
      </c>
      <c r="E122">
        <v>4</v>
      </c>
      <c r="F122">
        <v>602.346</v>
      </c>
      <c r="G122">
        <v>2409.384</v>
      </c>
    </row>
    <row r="123" spans="1:7" x14ac:dyDescent="0.55000000000000004">
      <c r="A123">
        <v>71784</v>
      </c>
      <c r="B123">
        <v>962</v>
      </c>
      <c r="C123">
        <v>29736</v>
      </c>
      <c r="D123" s="1">
        <v>39600</v>
      </c>
      <c r="E123">
        <v>7</v>
      </c>
      <c r="F123">
        <v>445.41</v>
      </c>
      <c r="G123">
        <v>3117.87</v>
      </c>
    </row>
    <row r="124" spans="1:7" x14ac:dyDescent="0.55000000000000004">
      <c r="A124">
        <v>71784</v>
      </c>
      <c r="B124">
        <v>895</v>
      </c>
      <c r="C124">
        <v>29736</v>
      </c>
      <c r="D124" s="1">
        <v>39600</v>
      </c>
      <c r="E124">
        <v>2</v>
      </c>
      <c r="F124">
        <v>200.05199999999999</v>
      </c>
      <c r="G124">
        <v>400.10399999999998</v>
      </c>
    </row>
    <row r="125" spans="1:7" x14ac:dyDescent="0.55000000000000004">
      <c r="A125">
        <v>71784</v>
      </c>
      <c r="B125">
        <v>979</v>
      </c>
      <c r="C125">
        <v>29736</v>
      </c>
      <c r="D125" s="1">
        <v>39600</v>
      </c>
      <c r="E125">
        <v>8</v>
      </c>
      <c r="F125">
        <v>445.41</v>
      </c>
      <c r="G125">
        <v>3563.28</v>
      </c>
    </row>
    <row r="126" spans="1:7" x14ac:dyDescent="0.55000000000000004">
      <c r="A126">
        <v>71784</v>
      </c>
      <c r="B126">
        <v>961</v>
      </c>
      <c r="C126">
        <v>29736</v>
      </c>
      <c r="D126" s="1">
        <v>39600</v>
      </c>
      <c r="E126">
        <v>3</v>
      </c>
      <c r="F126">
        <v>445.41</v>
      </c>
      <c r="G126">
        <v>1336.23</v>
      </c>
    </row>
    <row r="127" spans="1:7" x14ac:dyDescent="0.55000000000000004">
      <c r="A127">
        <v>71784</v>
      </c>
      <c r="B127">
        <v>963</v>
      </c>
      <c r="C127">
        <v>29736</v>
      </c>
      <c r="D127" s="1">
        <v>39600</v>
      </c>
      <c r="E127">
        <v>5</v>
      </c>
      <c r="F127">
        <v>445.41</v>
      </c>
      <c r="G127">
        <v>2227.0500000000002</v>
      </c>
    </row>
    <row r="128" spans="1:7" x14ac:dyDescent="0.55000000000000004">
      <c r="A128">
        <v>71784</v>
      </c>
      <c r="B128">
        <v>953</v>
      </c>
      <c r="C128">
        <v>29736</v>
      </c>
      <c r="D128" s="1">
        <v>39600</v>
      </c>
      <c r="E128">
        <v>3</v>
      </c>
      <c r="F128">
        <v>728.91</v>
      </c>
      <c r="G128">
        <v>2186.73</v>
      </c>
    </row>
    <row r="129" spans="1:7" x14ac:dyDescent="0.55000000000000004">
      <c r="A129">
        <v>71784</v>
      </c>
      <c r="B129">
        <v>966</v>
      </c>
      <c r="C129">
        <v>29736</v>
      </c>
      <c r="D129" s="1">
        <v>39600</v>
      </c>
      <c r="E129">
        <v>4</v>
      </c>
      <c r="F129">
        <v>1430.442</v>
      </c>
      <c r="G129">
        <v>5721.768</v>
      </c>
    </row>
    <row r="130" spans="1:7" x14ac:dyDescent="0.55000000000000004">
      <c r="A130">
        <v>71784</v>
      </c>
      <c r="B130">
        <v>967</v>
      </c>
      <c r="C130">
        <v>29736</v>
      </c>
      <c r="D130" s="1">
        <v>39600</v>
      </c>
      <c r="E130">
        <v>6</v>
      </c>
      <c r="F130">
        <v>1430.442</v>
      </c>
      <c r="G130">
        <v>8582.652</v>
      </c>
    </row>
    <row r="131" spans="1:7" x14ac:dyDescent="0.55000000000000004">
      <c r="A131">
        <v>71784</v>
      </c>
      <c r="B131">
        <v>969</v>
      </c>
      <c r="C131">
        <v>29736</v>
      </c>
      <c r="D131" s="1">
        <v>39600</v>
      </c>
      <c r="E131">
        <v>10</v>
      </c>
      <c r="F131">
        <v>1430.442</v>
      </c>
      <c r="G131">
        <v>14304.42</v>
      </c>
    </row>
    <row r="132" spans="1:7" x14ac:dyDescent="0.55000000000000004">
      <c r="A132">
        <v>71784</v>
      </c>
      <c r="B132">
        <v>955</v>
      </c>
      <c r="C132">
        <v>29736</v>
      </c>
      <c r="D132" s="1">
        <v>39600</v>
      </c>
      <c r="E132">
        <v>2</v>
      </c>
      <c r="F132">
        <v>1430.442</v>
      </c>
      <c r="G132">
        <v>2860.884</v>
      </c>
    </row>
    <row r="133" spans="1:7" x14ac:dyDescent="0.55000000000000004">
      <c r="A133">
        <v>71784</v>
      </c>
      <c r="B133">
        <v>916</v>
      </c>
      <c r="C133">
        <v>29736</v>
      </c>
      <c r="D133" s="1">
        <v>39600</v>
      </c>
      <c r="E133">
        <v>2</v>
      </c>
      <c r="F133">
        <v>31.584</v>
      </c>
      <c r="G133">
        <v>63.167999999999999</v>
      </c>
    </row>
    <row r="134" spans="1:7" x14ac:dyDescent="0.55000000000000004">
      <c r="A134">
        <v>71784</v>
      </c>
      <c r="B134">
        <v>896</v>
      </c>
      <c r="C134">
        <v>29736</v>
      </c>
      <c r="D134" s="1">
        <v>39600</v>
      </c>
      <c r="E134">
        <v>3</v>
      </c>
      <c r="F134">
        <v>200.05199999999999</v>
      </c>
      <c r="G134">
        <v>600.15599999999995</v>
      </c>
    </row>
    <row r="135" spans="1:7" x14ac:dyDescent="0.55000000000000004">
      <c r="A135">
        <v>71784</v>
      </c>
      <c r="B135">
        <v>900</v>
      </c>
      <c r="C135">
        <v>29736</v>
      </c>
      <c r="D135" s="1">
        <v>39600</v>
      </c>
      <c r="E135">
        <v>1</v>
      </c>
      <c r="F135">
        <v>200.05199999999999</v>
      </c>
      <c r="G135">
        <v>200.05199999999999</v>
      </c>
    </row>
    <row r="136" spans="1:7" x14ac:dyDescent="0.55000000000000004">
      <c r="A136">
        <v>71784</v>
      </c>
      <c r="B136">
        <v>893</v>
      </c>
      <c r="C136">
        <v>29736</v>
      </c>
      <c r="D136" s="1">
        <v>39600</v>
      </c>
      <c r="E136">
        <v>1</v>
      </c>
      <c r="F136">
        <v>602.346</v>
      </c>
      <c r="G136">
        <v>602.346</v>
      </c>
    </row>
    <row r="137" spans="1:7" x14ac:dyDescent="0.55000000000000004">
      <c r="A137">
        <v>71784</v>
      </c>
      <c r="B137">
        <v>715</v>
      </c>
      <c r="C137">
        <v>29736</v>
      </c>
      <c r="D137" s="1">
        <v>39600</v>
      </c>
      <c r="E137">
        <v>8</v>
      </c>
      <c r="F137">
        <v>29.994</v>
      </c>
      <c r="G137">
        <v>239.952</v>
      </c>
    </row>
    <row r="138" spans="1:7" x14ac:dyDescent="0.55000000000000004">
      <c r="A138">
        <v>71784</v>
      </c>
      <c r="B138">
        <v>881</v>
      </c>
      <c r="C138">
        <v>29736</v>
      </c>
      <c r="D138" s="1">
        <v>39600</v>
      </c>
      <c r="E138">
        <v>6</v>
      </c>
      <c r="F138">
        <v>32.393999999999998</v>
      </c>
      <c r="G138">
        <v>194.364</v>
      </c>
    </row>
    <row r="139" spans="1:7" x14ac:dyDescent="0.55000000000000004">
      <c r="A139">
        <v>71784</v>
      </c>
      <c r="B139">
        <v>883</v>
      </c>
      <c r="C139">
        <v>29736</v>
      </c>
      <c r="D139" s="1">
        <v>39600</v>
      </c>
      <c r="E139">
        <v>7</v>
      </c>
      <c r="F139">
        <v>32.393999999999998</v>
      </c>
      <c r="G139">
        <v>226.75800000000001</v>
      </c>
    </row>
    <row r="140" spans="1:7" x14ac:dyDescent="0.55000000000000004">
      <c r="A140">
        <v>71784</v>
      </c>
      <c r="B140">
        <v>884</v>
      </c>
      <c r="C140">
        <v>29736</v>
      </c>
      <c r="D140" s="1">
        <v>39600</v>
      </c>
      <c r="E140">
        <v>3</v>
      </c>
      <c r="F140">
        <v>32.393999999999998</v>
      </c>
      <c r="G140">
        <v>97.182000000000002</v>
      </c>
    </row>
    <row r="141" spans="1:7" x14ac:dyDescent="0.55000000000000004">
      <c r="A141">
        <v>71784</v>
      </c>
      <c r="B141">
        <v>859</v>
      </c>
      <c r="C141">
        <v>29736</v>
      </c>
      <c r="D141" s="1">
        <v>39600</v>
      </c>
      <c r="E141">
        <v>5</v>
      </c>
      <c r="F141">
        <v>14.694000000000001</v>
      </c>
      <c r="G141">
        <v>73.47</v>
      </c>
    </row>
    <row r="142" spans="1:7" x14ac:dyDescent="0.55000000000000004">
      <c r="A142">
        <v>71784</v>
      </c>
      <c r="B142">
        <v>880</v>
      </c>
      <c r="C142">
        <v>29736</v>
      </c>
      <c r="D142" s="1">
        <v>39600</v>
      </c>
      <c r="E142">
        <v>9</v>
      </c>
      <c r="F142">
        <v>32.994</v>
      </c>
      <c r="G142">
        <v>296.94600000000003</v>
      </c>
    </row>
    <row r="143" spans="1:7" x14ac:dyDescent="0.55000000000000004">
      <c r="A143">
        <v>71784</v>
      </c>
      <c r="B143">
        <v>873</v>
      </c>
      <c r="C143">
        <v>29736</v>
      </c>
      <c r="D143" s="1">
        <v>39600</v>
      </c>
      <c r="E143">
        <v>8</v>
      </c>
      <c r="F143">
        <v>1.3740000000000001</v>
      </c>
      <c r="G143">
        <v>10.992000000000001</v>
      </c>
    </row>
    <row r="144" spans="1:7" x14ac:dyDescent="0.55000000000000004">
      <c r="A144">
        <v>71784</v>
      </c>
      <c r="B144">
        <v>707</v>
      </c>
      <c r="C144">
        <v>29736</v>
      </c>
      <c r="D144" s="1">
        <v>39600</v>
      </c>
      <c r="E144">
        <v>10</v>
      </c>
      <c r="F144">
        <v>20.994</v>
      </c>
      <c r="G144">
        <v>209.94</v>
      </c>
    </row>
    <row r="145" spans="1:7" x14ac:dyDescent="0.55000000000000004">
      <c r="A145">
        <v>71796</v>
      </c>
      <c r="B145">
        <v>891</v>
      </c>
      <c r="C145">
        <v>29660</v>
      </c>
      <c r="D145" s="1">
        <v>39600</v>
      </c>
      <c r="E145">
        <v>1</v>
      </c>
      <c r="F145">
        <v>602.346</v>
      </c>
      <c r="G145">
        <v>602.346</v>
      </c>
    </row>
    <row r="146" spans="1:7" x14ac:dyDescent="0.55000000000000004">
      <c r="A146">
        <v>71796</v>
      </c>
      <c r="B146">
        <v>972</v>
      </c>
      <c r="C146">
        <v>29660</v>
      </c>
      <c r="D146" s="1">
        <v>39600</v>
      </c>
      <c r="E146">
        <v>8</v>
      </c>
      <c r="F146">
        <v>728.91</v>
      </c>
      <c r="G146">
        <v>5831.28</v>
      </c>
    </row>
    <row r="147" spans="1:7" x14ac:dyDescent="0.55000000000000004">
      <c r="A147">
        <v>71796</v>
      </c>
      <c r="B147">
        <v>953</v>
      </c>
      <c r="C147">
        <v>29660</v>
      </c>
      <c r="D147" s="1">
        <v>39600</v>
      </c>
      <c r="E147">
        <v>2</v>
      </c>
      <c r="F147">
        <v>728.91</v>
      </c>
      <c r="G147">
        <v>1457.82</v>
      </c>
    </row>
    <row r="148" spans="1:7" x14ac:dyDescent="0.55000000000000004">
      <c r="A148">
        <v>71796</v>
      </c>
      <c r="B148">
        <v>916</v>
      </c>
      <c r="C148">
        <v>29660</v>
      </c>
      <c r="D148" s="1">
        <v>39600</v>
      </c>
      <c r="E148">
        <v>1</v>
      </c>
      <c r="F148">
        <v>31.584</v>
      </c>
      <c r="G148">
        <v>31.584</v>
      </c>
    </row>
    <row r="149" spans="1:7" x14ac:dyDescent="0.55000000000000004">
      <c r="A149">
        <v>71796</v>
      </c>
      <c r="B149">
        <v>958</v>
      </c>
      <c r="C149">
        <v>29660</v>
      </c>
      <c r="D149" s="1">
        <v>39600</v>
      </c>
      <c r="E149">
        <v>5</v>
      </c>
      <c r="F149">
        <v>445.41</v>
      </c>
      <c r="G149">
        <v>2227.0500000000002</v>
      </c>
    </row>
    <row r="150" spans="1:7" x14ac:dyDescent="0.55000000000000004">
      <c r="A150">
        <v>71796</v>
      </c>
      <c r="B150">
        <v>957</v>
      </c>
      <c r="C150">
        <v>29660</v>
      </c>
      <c r="D150" s="1">
        <v>39600</v>
      </c>
      <c r="E150">
        <v>3</v>
      </c>
      <c r="F150">
        <v>1430.442</v>
      </c>
      <c r="G150">
        <v>4291.326</v>
      </c>
    </row>
    <row r="151" spans="1:7" x14ac:dyDescent="0.55000000000000004">
      <c r="A151">
        <v>71796</v>
      </c>
      <c r="B151">
        <v>969</v>
      </c>
      <c r="C151">
        <v>29660</v>
      </c>
      <c r="D151" s="1">
        <v>39600</v>
      </c>
      <c r="E151">
        <v>9</v>
      </c>
      <c r="F151">
        <v>1430.442</v>
      </c>
      <c r="G151">
        <v>12873.977999999999</v>
      </c>
    </row>
    <row r="152" spans="1:7" x14ac:dyDescent="0.55000000000000004">
      <c r="A152">
        <v>71796</v>
      </c>
      <c r="B152">
        <v>967</v>
      </c>
      <c r="C152">
        <v>29660</v>
      </c>
      <c r="D152" s="1">
        <v>39600</v>
      </c>
      <c r="E152">
        <v>2</v>
      </c>
      <c r="F152">
        <v>1430.442</v>
      </c>
      <c r="G152">
        <v>2860.884</v>
      </c>
    </row>
    <row r="153" spans="1:7" x14ac:dyDescent="0.55000000000000004">
      <c r="A153">
        <v>71796</v>
      </c>
      <c r="B153">
        <v>979</v>
      </c>
      <c r="C153">
        <v>29660</v>
      </c>
      <c r="D153" s="1">
        <v>39600</v>
      </c>
      <c r="E153">
        <v>3</v>
      </c>
      <c r="F153">
        <v>445.41</v>
      </c>
      <c r="G153">
        <v>1336.23</v>
      </c>
    </row>
    <row r="154" spans="1:7" x14ac:dyDescent="0.55000000000000004">
      <c r="A154">
        <v>71796</v>
      </c>
      <c r="B154">
        <v>961</v>
      </c>
      <c r="C154">
        <v>29660</v>
      </c>
      <c r="D154" s="1">
        <v>39600</v>
      </c>
      <c r="E154">
        <v>7</v>
      </c>
      <c r="F154">
        <v>445.41</v>
      </c>
      <c r="G154">
        <v>3117.87</v>
      </c>
    </row>
    <row r="155" spans="1:7" x14ac:dyDescent="0.55000000000000004">
      <c r="A155">
        <v>71796</v>
      </c>
      <c r="B155">
        <v>965</v>
      </c>
      <c r="C155">
        <v>29660</v>
      </c>
      <c r="D155" s="1">
        <v>39600</v>
      </c>
      <c r="E155">
        <v>2</v>
      </c>
      <c r="F155">
        <v>445.41</v>
      </c>
      <c r="G155">
        <v>890.82</v>
      </c>
    </row>
    <row r="156" spans="1:7" x14ac:dyDescent="0.55000000000000004">
      <c r="A156">
        <v>71796</v>
      </c>
      <c r="B156">
        <v>970</v>
      </c>
      <c r="C156">
        <v>29660</v>
      </c>
      <c r="D156" s="1">
        <v>39600</v>
      </c>
      <c r="E156">
        <v>1</v>
      </c>
      <c r="F156">
        <v>728.91</v>
      </c>
      <c r="G156">
        <v>728.91</v>
      </c>
    </row>
    <row r="157" spans="1:7" x14ac:dyDescent="0.55000000000000004">
      <c r="A157">
        <v>71796</v>
      </c>
      <c r="B157">
        <v>954</v>
      </c>
      <c r="C157">
        <v>29660</v>
      </c>
      <c r="D157" s="1">
        <v>39600</v>
      </c>
      <c r="E157">
        <v>3</v>
      </c>
      <c r="F157">
        <v>1430.442</v>
      </c>
      <c r="G157">
        <v>4291.326</v>
      </c>
    </row>
    <row r="158" spans="1:7" x14ac:dyDescent="0.55000000000000004">
      <c r="A158">
        <v>71796</v>
      </c>
      <c r="B158">
        <v>955</v>
      </c>
      <c r="C158">
        <v>29660</v>
      </c>
      <c r="D158" s="1">
        <v>39600</v>
      </c>
      <c r="E158">
        <v>1</v>
      </c>
      <c r="F158">
        <v>1430.442</v>
      </c>
      <c r="G158">
        <v>1430.442</v>
      </c>
    </row>
    <row r="159" spans="1:7" x14ac:dyDescent="0.55000000000000004">
      <c r="A159">
        <v>71796</v>
      </c>
      <c r="B159">
        <v>947</v>
      </c>
      <c r="C159">
        <v>29660</v>
      </c>
      <c r="D159" s="1">
        <v>39600</v>
      </c>
      <c r="E159">
        <v>1</v>
      </c>
      <c r="F159">
        <v>54.942</v>
      </c>
      <c r="G159">
        <v>54.942</v>
      </c>
    </row>
    <row r="160" spans="1:7" x14ac:dyDescent="0.55000000000000004">
      <c r="A160">
        <v>71796</v>
      </c>
      <c r="B160">
        <v>899</v>
      </c>
      <c r="C160">
        <v>29660</v>
      </c>
      <c r="D160" s="1">
        <v>39600</v>
      </c>
      <c r="E160">
        <v>1</v>
      </c>
      <c r="F160">
        <v>200.05199999999999</v>
      </c>
      <c r="G160">
        <v>200.05199999999999</v>
      </c>
    </row>
    <row r="161" spans="1:7" x14ac:dyDescent="0.55000000000000004">
      <c r="A161">
        <v>71796</v>
      </c>
      <c r="B161">
        <v>900</v>
      </c>
      <c r="C161">
        <v>29660</v>
      </c>
      <c r="D161" s="1">
        <v>39600</v>
      </c>
      <c r="E161">
        <v>1</v>
      </c>
      <c r="F161">
        <v>200.05199999999999</v>
      </c>
      <c r="G161">
        <v>200.05199999999999</v>
      </c>
    </row>
    <row r="162" spans="1:7" x14ac:dyDescent="0.55000000000000004">
      <c r="A162">
        <v>71796</v>
      </c>
      <c r="B162">
        <v>892</v>
      </c>
      <c r="C162">
        <v>29660</v>
      </c>
      <c r="D162" s="1">
        <v>39600</v>
      </c>
      <c r="E162">
        <v>6</v>
      </c>
      <c r="F162">
        <v>602.346</v>
      </c>
      <c r="G162">
        <v>3614.076</v>
      </c>
    </row>
    <row r="163" spans="1:7" x14ac:dyDescent="0.55000000000000004">
      <c r="A163">
        <v>71796</v>
      </c>
      <c r="B163">
        <v>893</v>
      </c>
      <c r="C163">
        <v>29660</v>
      </c>
      <c r="D163" s="1">
        <v>39600</v>
      </c>
      <c r="E163">
        <v>1</v>
      </c>
      <c r="F163">
        <v>602.346</v>
      </c>
      <c r="G163">
        <v>602.346</v>
      </c>
    </row>
    <row r="164" spans="1:7" x14ac:dyDescent="0.55000000000000004">
      <c r="A164">
        <v>71796</v>
      </c>
      <c r="B164">
        <v>885</v>
      </c>
      <c r="C164">
        <v>29660</v>
      </c>
      <c r="D164" s="1">
        <v>39600</v>
      </c>
      <c r="E164">
        <v>2</v>
      </c>
      <c r="F164">
        <v>602.346</v>
      </c>
      <c r="G164">
        <v>1204.692</v>
      </c>
    </row>
    <row r="165" spans="1:7" x14ac:dyDescent="0.55000000000000004">
      <c r="A165">
        <v>71797</v>
      </c>
      <c r="B165">
        <v>711</v>
      </c>
      <c r="C165">
        <v>29796</v>
      </c>
      <c r="D165" s="1">
        <v>39600</v>
      </c>
      <c r="E165">
        <v>4</v>
      </c>
      <c r="F165">
        <v>20.994</v>
      </c>
      <c r="G165">
        <v>83.975999999999999</v>
      </c>
    </row>
    <row r="166" spans="1:7" x14ac:dyDescent="0.55000000000000004">
      <c r="A166">
        <v>71797</v>
      </c>
      <c r="B166">
        <v>838</v>
      </c>
      <c r="C166">
        <v>29796</v>
      </c>
      <c r="D166" s="1">
        <v>39600</v>
      </c>
      <c r="E166">
        <v>2</v>
      </c>
      <c r="F166">
        <v>858.9</v>
      </c>
      <c r="G166">
        <v>1717.8</v>
      </c>
    </row>
    <row r="167" spans="1:7" x14ac:dyDescent="0.55000000000000004">
      <c r="A167">
        <v>71797</v>
      </c>
      <c r="B167">
        <v>714</v>
      </c>
      <c r="C167">
        <v>29796</v>
      </c>
      <c r="D167" s="1">
        <v>39600</v>
      </c>
      <c r="E167">
        <v>1</v>
      </c>
      <c r="F167">
        <v>29.994</v>
      </c>
      <c r="G167">
        <v>29.994</v>
      </c>
    </row>
    <row r="168" spans="1:7" x14ac:dyDescent="0.55000000000000004">
      <c r="A168">
        <v>71797</v>
      </c>
      <c r="B168">
        <v>940</v>
      </c>
      <c r="C168">
        <v>29796</v>
      </c>
      <c r="D168" s="1">
        <v>39600</v>
      </c>
      <c r="E168">
        <v>4</v>
      </c>
      <c r="F168">
        <v>48.594000000000001</v>
      </c>
      <c r="G168">
        <v>194.376</v>
      </c>
    </row>
    <row r="169" spans="1:7" x14ac:dyDescent="0.55000000000000004">
      <c r="A169">
        <v>71797</v>
      </c>
      <c r="B169">
        <v>913</v>
      </c>
      <c r="C169">
        <v>29796</v>
      </c>
      <c r="D169" s="1">
        <v>39600</v>
      </c>
      <c r="E169">
        <v>2</v>
      </c>
      <c r="F169">
        <v>31.584</v>
      </c>
      <c r="G169">
        <v>63.167999999999999</v>
      </c>
    </row>
    <row r="170" spans="1:7" x14ac:dyDescent="0.55000000000000004">
      <c r="A170">
        <v>71797</v>
      </c>
      <c r="B170">
        <v>738</v>
      </c>
      <c r="C170">
        <v>29796</v>
      </c>
      <c r="D170" s="1">
        <v>39600</v>
      </c>
      <c r="E170">
        <v>1</v>
      </c>
      <c r="F170">
        <v>202.33199999999999</v>
      </c>
      <c r="G170">
        <v>202.33199999999999</v>
      </c>
    </row>
    <row r="171" spans="1:7" x14ac:dyDescent="0.55000000000000004">
      <c r="A171">
        <v>71797</v>
      </c>
      <c r="B171">
        <v>722</v>
      </c>
      <c r="C171">
        <v>29796</v>
      </c>
      <c r="D171" s="1">
        <v>39600</v>
      </c>
      <c r="E171">
        <v>3</v>
      </c>
      <c r="F171">
        <v>202.33199999999999</v>
      </c>
      <c r="G171">
        <v>606.99599999999998</v>
      </c>
    </row>
    <row r="172" spans="1:7" x14ac:dyDescent="0.55000000000000004">
      <c r="A172">
        <v>71797</v>
      </c>
      <c r="B172">
        <v>835</v>
      </c>
      <c r="C172">
        <v>29796</v>
      </c>
      <c r="D172" s="1">
        <v>39600</v>
      </c>
      <c r="E172">
        <v>5</v>
      </c>
      <c r="F172">
        <v>356.89800000000002</v>
      </c>
      <c r="G172">
        <v>1784.49</v>
      </c>
    </row>
    <row r="173" spans="1:7" x14ac:dyDescent="0.55000000000000004">
      <c r="A173">
        <v>71797</v>
      </c>
      <c r="B173">
        <v>718</v>
      </c>
      <c r="C173">
        <v>29796</v>
      </c>
      <c r="D173" s="1">
        <v>39600</v>
      </c>
      <c r="E173">
        <v>1</v>
      </c>
      <c r="F173">
        <v>858.9</v>
      </c>
      <c r="G173">
        <v>858.9</v>
      </c>
    </row>
    <row r="174" spans="1:7" x14ac:dyDescent="0.55000000000000004">
      <c r="A174">
        <v>71797</v>
      </c>
      <c r="B174">
        <v>715</v>
      </c>
      <c r="C174">
        <v>29796</v>
      </c>
      <c r="D174" s="1">
        <v>39600</v>
      </c>
      <c r="E174">
        <v>4</v>
      </c>
      <c r="F174">
        <v>29.994</v>
      </c>
      <c r="G174">
        <v>119.976</v>
      </c>
    </row>
    <row r="175" spans="1:7" x14ac:dyDescent="0.55000000000000004">
      <c r="A175">
        <v>71797</v>
      </c>
      <c r="B175">
        <v>716</v>
      </c>
      <c r="C175">
        <v>29796</v>
      </c>
      <c r="D175" s="1">
        <v>39600</v>
      </c>
      <c r="E175">
        <v>5</v>
      </c>
      <c r="F175">
        <v>29.994</v>
      </c>
      <c r="G175">
        <v>149.97</v>
      </c>
    </row>
    <row r="176" spans="1:7" x14ac:dyDescent="0.55000000000000004">
      <c r="A176">
        <v>71797</v>
      </c>
      <c r="B176">
        <v>875</v>
      </c>
      <c r="C176">
        <v>29796</v>
      </c>
      <c r="D176" s="1">
        <v>39600</v>
      </c>
      <c r="E176">
        <v>3</v>
      </c>
      <c r="F176">
        <v>5.3940000000000001</v>
      </c>
      <c r="G176">
        <v>16.181999999999999</v>
      </c>
    </row>
    <row r="177" spans="1:7" x14ac:dyDescent="0.55000000000000004">
      <c r="A177">
        <v>71797</v>
      </c>
      <c r="B177">
        <v>860</v>
      </c>
      <c r="C177">
        <v>29796</v>
      </c>
      <c r="D177" s="1">
        <v>39600</v>
      </c>
      <c r="E177">
        <v>4</v>
      </c>
      <c r="F177">
        <v>14.694000000000001</v>
      </c>
      <c r="G177">
        <v>58.776000000000003</v>
      </c>
    </row>
    <row r="178" spans="1:7" x14ac:dyDescent="0.55000000000000004">
      <c r="A178">
        <v>71797</v>
      </c>
      <c r="B178">
        <v>712</v>
      </c>
      <c r="C178">
        <v>29796</v>
      </c>
      <c r="D178" s="1">
        <v>39600</v>
      </c>
      <c r="E178">
        <v>6</v>
      </c>
      <c r="F178">
        <v>5.3940000000000001</v>
      </c>
      <c r="G178">
        <v>32.363999999999997</v>
      </c>
    </row>
    <row r="179" spans="1:7" x14ac:dyDescent="0.55000000000000004">
      <c r="A179">
        <v>71797</v>
      </c>
      <c r="B179">
        <v>880</v>
      </c>
      <c r="C179">
        <v>29796</v>
      </c>
      <c r="D179" s="1">
        <v>39600</v>
      </c>
      <c r="E179">
        <v>10</v>
      </c>
      <c r="F179">
        <v>32.994</v>
      </c>
      <c r="G179">
        <v>329.94</v>
      </c>
    </row>
    <row r="180" spans="1:7" x14ac:dyDescent="0.55000000000000004">
      <c r="A180">
        <v>71797</v>
      </c>
      <c r="B180">
        <v>873</v>
      </c>
      <c r="C180">
        <v>29796</v>
      </c>
      <c r="D180" s="1">
        <v>39600</v>
      </c>
      <c r="E180">
        <v>6</v>
      </c>
      <c r="F180">
        <v>1.3740000000000001</v>
      </c>
      <c r="G180">
        <v>8.2439999999999998</v>
      </c>
    </row>
    <row r="181" spans="1:7" x14ac:dyDescent="0.55000000000000004">
      <c r="A181">
        <v>71797</v>
      </c>
      <c r="B181">
        <v>876</v>
      </c>
      <c r="C181">
        <v>29796</v>
      </c>
      <c r="D181" s="1">
        <v>39600</v>
      </c>
      <c r="E181">
        <v>10</v>
      </c>
      <c r="F181">
        <v>72</v>
      </c>
      <c r="G181">
        <v>720</v>
      </c>
    </row>
    <row r="182" spans="1:7" x14ac:dyDescent="0.55000000000000004">
      <c r="A182">
        <v>71797</v>
      </c>
      <c r="B182">
        <v>977</v>
      </c>
      <c r="C182">
        <v>29796</v>
      </c>
      <c r="D182" s="1">
        <v>39600</v>
      </c>
      <c r="E182">
        <v>7</v>
      </c>
      <c r="F182">
        <v>323.99400000000003</v>
      </c>
      <c r="G182">
        <v>2267.9580000000001</v>
      </c>
    </row>
    <row r="183" spans="1:7" x14ac:dyDescent="0.55000000000000004">
      <c r="A183">
        <v>71797</v>
      </c>
      <c r="B183">
        <v>798</v>
      </c>
      <c r="C183">
        <v>29796</v>
      </c>
      <c r="D183" s="1">
        <v>39600</v>
      </c>
      <c r="E183">
        <v>2</v>
      </c>
      <c r="F183">
        <v>672.29399999999998</v>
      </c>
      <c r="G183">
        <v>1344.588</v>
      </c>
    </row>
    <row r="184" spans="1:7" x14ac:dyDescent="0.55000000000000004">
      <c r="A184">
        <v>71797</v>
      </c>
      <c r="B184">
        <v>813</v>
      </c>
      <c r="C184">
        <v>29796</v>
      </c>
      <c r="D184" s="1">
        <v>39600</v>
      </c>
      <c r="E184">
        <v>2</v>
      </c>
      <c r="F184">
        <v>72.162000000000006</v>
      </c>
      <c r="G184">
        <v>144.32400000000001</v>
      </c>
    </row>
    <row r="185" spans="1:7" x14ac:dyDescent="0.55000000000000004">
      <c r="A185">
        <v>71797</v>
      </c>
      <c r="B185">
        <v>939</v>
      </c>
      <c r="C185">
        <v>29796</v>
      </c>
      <c r="D185" s="1">
        <v>39600</v>
      </c>
      <c r="E185">
        <v>4</v>
      </c>
      <c r="F185">
        <v>37.253999999999998</v>
      </c>
      <c r="G185">
        <v>149.01599999999999</v>
      </c>
    </row>
    <row r="186" spans="1:7" x14ac:dyDescent="0.55000000000000004">
      <c r="A186">
        <v>71797</v>
      </c>
      <c r="B186">
        <v>801</v>
      </c>
      <c r="C186">
        <v>29796</v>
      </c>
      <c r="D186" s="1">
        <v>39600</v>
      </c>
      <c r="E186">
        <v>2</v>
      </c>
      <c r="F186">
        <v>672.29399999999998</v>
      </c>
      <c r="G186">
        <v>1344.588</v>
      </c>
    </row>
    <row r="187" spans="1:7" x14ac:dyDescent="0.55000000000000004">
      <c r="A187">
        <v>71797</v>
      </c>
      <c r="B187">
        <v>998</v>
      </c>
      <c r="C187">
        <v>29796</v>
      </c>
      <c r="D187" s="1">
        <v>39600</v>
      </c>
      <c r="E187">
        <v>6</v>
      </c>
      <c r="F187">
        <v>323.99400000000003</v>
      </c>
      <c r="G187">
        <v>1943.9639999999999</v>
      </c>
    </row>
    <row r="188" spans="1:7" x14ac:dyDescent="0.55000000000000004">
      <c r="A188">
        <v>71797</v>
      </c>
      <c r="B188">
        <v>999</v>
      </c>
      <c r="C188">
        <v>29796</v>
      </c>
      <c r="D188" s="1">
        <v>39600</v>
      </c>
      <c r="E188">
        <v>4</v>
      </c>
      <c r="F188">
        <v>323.99400000000003</v>
      </c>
      <c r="G188">
        <v>1295.9760000000001</v>
      </c>
    </row>
    <row r="189" spans="1:7" x14ac:dyDescent="0.55000000000000004">
      <c r="A189">
        <v>71797</v>
      </c>
      <c r="B189">
        <v>938</v>
      </c>
      <c r="C189">
        <v>29796</v>
      </c>
      <c r="D189" s="1">
        <v>39600</v>
      </c>
      <c r="E189">
        <v>3</v>
      </c>
      <c r="F189">
        <v>24.294</v>
      </c>
      <c r="G189">
        <v>72.882000000000005</v>
      </c>
    </row>
    <row r="190" spans="1:7" x14ac:dyDescent="0.55000000000000004">
      <c r="A190">
        <v>71797</v>
      </c>
      <c r="B190">
        <v>794</v>
      </c>
      <c r="C190">
        <v>29796</v>
      </c>
      <c r="D190" s="1">
        <v>39600</v>
      </c>
      <c r="E190">
        <v>5</v>
      </c>
      <c r="F190">
        <v>1466.01</v>
      </c>
      <c r="G190">
        <v>7330.05</v>
      </c>
    </row>
    <row r="191" spans="1:7" x14ac:dyDescent="0.55000000000000004">
      <c r="A191">
        <v>71797</v>
      </c>
      <c r="B191">
        <v>795</v>
      </c>
      <c r="C191">
        <v>29796</v>
      </c>
      <c r="D191" s="1">
        <v>39600</v>
      </c>
      <c r="E191">
        <v>2</v>
      </c>
      <c r="F191">
        <v>1466.01</v>
      </c>
      <c r="G191">
        <v>2932.02</v>
      </c>
    </row>
    <row r="192" spans="1:7" x14ac:dyDescent="0.55000000000000004">
      <c r="A192">
        <v>71797</v>
      </c>
      <c r="B192">
        <v>797</v>
      </c>
      <c r="C192">
        <v>29796</v>
      </c>
      <c r="D192" s="1">
        <v>39600</v>
      </c>
      <c r="E192">
        <v>10</v>
      </c>
      <c r="F192">
        <v>672.29399999999998</v>
      </c>
      <c r="G192">
        <v>6722.94</v>
      </c>
    </row>
    <row r="193" spans="1:7" x14ac:dyDescent="0.55000000000000004">
      <c r="A193">
        <v>71797</v>
      </c>
      <c r="B193">
        <v>881</v>
      </c>
      <c r="C193">
        <v>29796</v>
      </c>
      <c r="D193" s="1">
        <v>39600</v>
      </c>
      <c r="E193">
        <v>8</v>
      </c>
      <c r="F193">
        <v>32.393999999999998</v>
      </c>
      <c r="G193">
        <v>259.15199999999999</v>
      </c>
    </row>
    <row r="194" spans="1:7" x14ac:dyDescent="0.55000000000000004">
      <c r="A194">
        <v>71797</v>
      </c>
      <c r="B194">
        <v>865</v>
      </c>
      <c r="C194">
        <v>29796</v>
      </c>
      <c r="D194" s="1">
        <v>39600</v>
      </c>
      <c r="E194">
        <v>1</v>
      </c>
      <c r="F194">
        <v>38.1</v>
      </c>
      <c r="G194">
        <v>38.1</v>
      </c>
    </row>
    <row r="195" spans="1:7" x14ac:dyDescent="0.55000000000000004">
      <c r="A195">
        <v>71797</v>
      </c>
      <c r="B195">
        <v>976</v>
      </c>
      <c r="C195">
        <v>29796</v>
      </c>
      <c r="D195" s="1">
        <v>39600</v>
      </c>
      <c r="E195">
        <v>9</v>
      </c>
      <c r="F195">
        <v>1020.5940000000001</v>
      </c>
      <c r="G195">
        <v>9185.3459999999995</v>
      </c>
    </row>
    <row r="196" spans="1:7" x14ac:dyDescent="0.55000000000000004">
      <c r="A196">
        <v>71797</v>
      </c>
      <c r="B196">
        <v>793</v>
      </c>
      <c r="C196">
        <v>29796</v>
      </c>
      <c r="D196" s="1">
        <v>39600</v>
      </c>
      <c r="E196">
        <v>6</v>
      </c>
      <c r="F196">
        <v>1466.01</v>
      </c>
      <c r="G196">
        <v>8796.06</v>
      </c>
    </row>
    <row r="197" spans="1:7" x14ac:dyDescent="0.55000000000000004">
      <c r="A197">
        <v>71797</v>
      </c>
      <c r="B197">
        <v>974</v>
      </c>
      <c r="C197">
        <v>29796</v>
      </c>
      <c r="D197" s="1">
        <v>39600</v>
      </c>
      <c r="E197">
        <v>3</v>
      </c>
      <c r="F197">
        <v>1020.5940000000001</v>
      </c>
      <c r="G197">
        <v>3061.7820000000002</v>
      </c>
    </row>
    <row r="198" spans="1:7" x14ac:dyDescent="0.55000000000000004">
      <c r="A198">
        <v>71797</v>
      </c>
      <c r="B198">
        <v>707</v>
      </c>
      <c r="C198">
        <v>29796</v>
      </c>
      <c r="D198" s="1">
        <v>39600</v>
      </c>
      <c r="E198">
        <v>6</v>
      </c>
      <c r="F198">
        <v>20.994</v>
      </c>
      <c r="G198">
        <v>125.964</v>
      </c>
    </row>
    <row r="199" spans="1:7" x14ac:dyDescent="0.55000000000000004">
      <c r="A199">
        <v>71797</v>
      </c>
      <c r="B199">
        <v>859</v>
      </c>
      <c r="C199">
        <v>29796</v>
      </c>
      <c r="D199" s="1">
        <v>39600</v>
      </c>
      <c r="E199">
        <v>9</v>
      </c>
      <c r="F199">
        <v>14.694000000000001</v>
      </c>
      <c r="G199">
        <v>132.24600000000001</v>
      </c>
    </row>
    <row r="200" spans="1:7" x14ac:dyDescent="0.55000000000000004">
      <c r="A200">
        <v>71797</v>
      </c>
      <c r="B200">
        <v>973</v>
      </c>
      <c r="C200">
        <v>29796</v>
      </c>
      <c r="D200" s="1">
        <v>39600</v>
      </c>
      <c r="E200">
        <v>5</v>
      </c>
      <c r="F200">
        <v>1020.5940000000001</v>
      </c>
      <c r="G200">
        <v>5102.97</v>
      </c>
    </row>
    <row r="201" spans="1:7" x14ac:dyDescent="0.55000000000000004">
      <c r="A201">
        <v>71797</v>
      </c>
      <c r="B201">
        <v>717</v>
      </c>
      <c r="C201">
        <v>29796</v>
      </c>
      <c r="D201" s="1">
        <v>39600</v>
      </c>
      <c r="E201">
        <v>2</v>
      </c>
      <c r="F201">
        <v>858.9</v>
      </c>
      <c r="G201">
        <v>1717.8</v>
      </c>
    </row>
    <row r="202" spans="1:7" x14ac:dyDescent="0.55000000000000004">
      <c r="A202">
        <v>71797</v>
      </c>
      <c r="B202">
        <v>858</v>
      </c>
      <c r="C202">
        <v>29796</v>
      </c>
      <c r="D202" s="1">
        <v>39600</v>
      </c>
      <c r="E202">
        <v>4</v>
      </c>
      <c r="F202">
        <v>14.694000000000001</v>
      </c>
      <c r="G202">
        <v>58.776000000000003</v>
      </c>
    </row>
    <row r="203" spans="1:7" x14ac:dyDescent="0.55000000000000004">
      <c r="A203">
        <v>71797</v>
      </c>
      <c r="B203">
        <v>836</v>
      </c>
      <c r="C203">
        <v>29796</v>
      </c>
      <c r="D203" s="1">
        <v>39600</v>
      </c>
      <c r="E203">
        <v>4</v>
      </c>
      <c r="F203">
        <v>356.89800000000002</v>
      </c>
      <c r="G203">
        <v>1427.5920000000001</v>
      </c>
    </row>
    <row r="204" spans="1:7" x14ac:dyDescent="0.55000000000000004">
      <c r="A204">
        <v>71797</v>
      </c>
      <c r="B204">
        <v>822</v>
      </c>
      <c r="C204">
        <v>29796</v>
      </c>
      <c r="D204" s="1">
        <v>39600</v>
      </c>
      <c r="E204">
        <v>2</v>
      </c>
      <c r="F204">
        <v>356.89800000000002</v>
      </c>
      <c r="G204">
        <v>713.79600000000005</v>
      </c>
    </row>
    <row r="205" spans="1:7" x14ac:dyDescent="0.55000000000000004">
      <c r="A205">
        <v>71815</v>
      </c>
      <c r="B205">
        <v>738</v>
      </c>
      <c r="C205">
        <v>30089</v>
      </c>
      <c r="D205" s="1">
        <v>39600</v>
      </c>
      <c r="E205">
        <v>1</v>
      </c>
      <c r="F205">
        <v>202.33199999999999</v>
      </c>
      <c r="G205">
        <v>202.33199999999999</v>
      </c>
    </row>
    <row r="206" spans="1:7" x14ac:dyDescent="0.55000000000000004">
      <c r="A206">
        <v>71815</v>
      </c>
      <c r="B206">
        <v>835</v>
      </c>
      <c r="C206">
        <v>30089</v>
      </c>
      <c r="D206" s="1">
        <v>39600</v>
      </c>
      <c r="E206">
        <v>2</v>
      </c>
      <c r="F206">
        <v>356.89800000000002</v>
      </c>
      <c r="G206">
        <v>713.79600000000005</v>
      </c>
    </row>
    <row r="207" spans="1:7" x14ac:dyDescent="0.55000000000000004">
      <c r="A207">
        <v>71815</v>
      </c>
      <c r="B207">
        <v>874</v>
      </c>
      <c r="C207">
        <v>30089</v>
      </c>
      <c r="D207" s="1">
        <v>39600</v>
      </c>
      <c r="E207">
        <v>2</v>
      </c>
      <c r="F207">
        <v>5.3940000000000001</v>
      </c>
      <c r="G207">
        <v>10.788</v>
      </c>
    </row>
    <row r="208" spans="1:7" x14ac:dyDescent="0.55000000000000004">
      <c r="A208">
        <v>71816</v>
      </c>
      <c r="B208">
        <v>953</v>
      </c>
      <c r="C208">
        <v>30027</v>
      </c>
      <c r="D208" s="1">
        <v>39600</v>
      </c>
      <c r="E208">
        <v>1</v>
      </c>
      <c r="F208">
        <v>728.91</v>
      </c>
      <c r="G208">
        <v>728.91</v>
      </c>
    </row>
    <row r="209" spans="1:7" x14ac:dyDescent="0.55000000000000004">
      <c r="A209">
        <v>71816</v>
      </c>
      <c r="B209">
        <v>954</v>
      </c>
      <c r="C209">
        <v>30027</v>
      </c>
      <c r="D209" s="1">
        <v>39600</v>
      </c>
      <c r="E209">
        <v>1</v>
      </c>
      <c r="F209">
        <v>1430.442</v>
      </c>
      <c r="G209">
        <v>1430.442</v>
      </c>
    </row>
    <row r="210" spans="1:7" x14ac:dyDescent="0.55000000000000004">
      <c r="A210">
        <v>71816</v>
      </c>
      <c r="B210">
        <v>715</v>
      </c>
      <c r="C210">
        <v>30027</v>
      </c>
      <c r="D210" s="1">
        <v>39600</v>
      </c>
      <c r="E210">
        <v>2</v>
      </c>
      <c r="F210">
        <v>29.994</v>
      </c>
      <c r="G210">
        <v>59.988</v>
      </c>
    </row>
    <row r="211" spans="1:7" x14ac:dyDescent="0.55000000000000004">
      <c r="A211">
        <v>71816</v>
      </c>
      <c r="B211">
        <v>712</v>
      </c>
      <c r="C211">
        <v>30027</v>
      </c>
      <c r="D211" s="1">
        <v>39600</v>
      </c>
      <c r="E211">
        <v>4</v>
      </c>
      <c r="F211">
        <v>5.3940000000000001</v>
      </c>
      <c r="G211">
        <v>21.576000000000001</v>
      </c>
    </row>
    <row r="212" spans="1:7" x14ac:dyDescent="0.55000000000000004">
      <c r="A212">
        <v>71816</v>
      </c>
      <c r="B212">
        <v>883</v>
      </c>
      <c r="C212">
        <v>30027</v>
      </c>
      <c r="D212" s="1">
        <v>39600</v>
      </c>
      <c r="E212">
        <v>3</v>
      </c>
      <c r="F212">
        <v>32.393999999999998</v>
      </c>
      <c r="G212">
        <v>97.182000000000002</v>
      </c>
    </row>
    <row r="213" spans="1:7" x14ac:dyDescent="0.55000000000000004">
      <c r="A213">
        <v>71816</v>
      </c>
      <c r="B213">
        <v>961</v>
      </c>
      <c r="C213">
        <v>30027</v>
      </c>
      <c r="D213" s="1">
        <v>39600</v>
      </c>
      <c r="E213">
        <v>1</v>
      </c>
      <c r="F213">
        <v>445.41</v>
      </c>
      <c r="G213">
        <v>445.41</v>
      </c>
    </row>
    <row r="214" spans="1:7" x14ac:dyDescent="0.55000000000000004">
      <c r="A214">
        <v>71816</v>
      </c>
      <c r="B214">
        <v>948</v>
      </c>
      <c r="C214">
        <v>30027</v>
      </c>
      <c r="D214" s="1">
        <v>39600</v>
      </c>
      <c r="E214">
        <v>1</v>
      </c>
      <c r="F214">
        <v>63.9</v>
      </c>
      <c r="G214">
        <v>63.9</v>
      </c>
    </row>
    <row r="215" spans="1:7" x14ac:dyDescent="0.55000000000000004">
      <c r="A215">
        <v>71831</v>
      </c>
      <c r="B215">
        <v>869</v>
      </c>
      <c r="C215">
        <v>30019</v>
      </c>
      <c r="D215" s="1">
        <v>39600</v>
      </c>
      <c r="E215">
        <v>2</v>
      </c>
      <c r="F215">
        <v>41.994</v>
      </c>
      <c r="G215">
        <v>83.988</v>
      </c>
    </row>
    <row r="216" spans="1:7" x14ac:dyDescent="0.55000000000000004">
      <c r="A216">
        <v>71831</v>
      </c>
      <c r="B216">
        <v>782</v>
      </c>
      <c r="C216">
        <v>30019</v>
      </c>
      <c r="D216" s="1">
        <v>39600</v>
      </c>
      <c r="E216">
        <v>1</v>
      </c>
      <c r="F216">
        <v>1376.9939999999999</v>
      </c>
      <c r="G216">
        <v>1376.9939999999999</v>
      </c>
    </row>
    <row r="217" spans="1:7" x14ac:dyDescent="0.55000000000000004">
      <c r="A217">
        <v>71831</v>
      </c>
      <c r="B217">
        <v>867</v>
      </c>
      <c r="C217">
        <v>30019</v>
      </c>
      <c r="D217" s="1">
        <v>39600</v>
      </c>
      <c r="E217">
        <v>6</v>
      </c>
      <c r="F217">
        <v>41.994</v>
      </c>
      <c r="G217">
        <v>251.964</v>
      </c>
    </row>
    <row r="218" spans="1:7" x14ac:dyDescent="0.55000000000000004">
      <c r="A218">
        <v>71832</v>
      </c>
      <c r="B218">
        <v>918</v>
      </c>
      <c r="C218">
        <v>29922</v>
      </c>
      <c r="D218" s="1">
        <v>39600</v>
      </c>
      <c r="E218">
        <v>4</v>
      </c>
      <c r="F218">
        <v>158.43</v>
      </c>
      <c r="G218">
        <v>633.72</v>
      </c>
    </row>
    <row r="219" spans="1:7" x14ac:dyDescent="0.55000000000000004">
      <c r="A219">
        <v>71832</v>
      </c>
      <c r="B219">
        <v>983</v>
      </c>
      <c r="C219">
        <v>29922</v>
      </c>
      <c r="D219" s="1">
        <v>39600</v>
      </c>
      <c r="E219">
        <v>3</v>
      </c>
      <c r="F219">
        <v>461.69400000000002</v>
      </c>
      <c r="G219">
        <v>1385.0820000000001</v>
      </c>
    </row>
    <row r="220" spans="1:7" x14ac:dyDescent="0.55000000000000004">
      <c r="A220">
        <v>71832</v>
      </c>
      <c r="B220">
        <v>781</v>
      </c>
      <c r="C220">
        <v>29922</v>
      </c>
      <c r="D220" s="1">
        <v>39600</v>
      </c>
      <c r="E220">
        <v>2</v>
      </c>
      <c r="F220">
        <v>1391.9939999999999</v>
      </c>
      <c r="G220">
        <v>2783.9879999999998</v>
      </c>
    </row>
    <row r="221" spans="1:7" x14ac:dyDescent="0.55000000000000004">
      <c r="A221">
        <v>71832</v>
      </c>
      <c r="B221">
        <v>868</v>
      </c>
      <c r="C221">
        <v>29922</v>
      </c>
      <c r="D221" s="1">
        <v>39600</v>
      </c>
      <c r="E221">
        <v>1</v>
      </c>
      <c r="F221">
        <v>41.994</v>
      </c>
      <c r="G221">
        <v>41.994</v>
      </c>
    </row>
    <row r="222" spans="1:7" x14ac:dyDescent="0.55000000000000004">
      <c r="A222">
        <v>71832</v>
      </c>
      <c r="B222">
        <v>810</v>
      </c>
      <c r="C222">
        <v>29922</v>
      </c>
      <c r="D222" s="1">
        <v>39600</v>
      </c>
      <c r="E222">
        <v>1</v>
      </c>
      <c r="F222">
        <v>72.162000000000006</v>
      </c>
      <c r="G222">
        <v>72.162000000000006</v>
      </c>
    </row>
    <row r="223" spans="1:7" x14ac:dyDescent="0.55000000000000004">
      <c r="A223">
        <v>71832</v>
      </c>
      <c r="B223">
        <v>980</v>
      </c>
      <c r="C223">
        <v>29922</v>
      </c>
      <c r="D223" s="1">
        <v>39600</v>
      </c>
      <c r="E223">
        <v>1</v>
      </c>
      <c r="F223">
        <v>461.69400000000002</v>
      </c>
      <c r="G223">
        <v>461.69400000000002</v>
      </c>
    </row>
    <row r="224" spans="1:7" x14ac:dyDescent="0.55000000000000004">
      <c r="A224">
        <v>71832</v>
      </c>
      <c r="B224">
        <v>925</v>
      </c>
      <c r="C224">
        <v>29922</v>
      </c>
      <c r="D224" s="1">
        <v>39600</v>
      </c>
      <c r="E224">
        <v>2</v>
      </c>
      <c r="F224">
        <v>149.874</v>
      </c>
      <c r="G224">
        <v>299.74799999999999</v>
      </c>
    </row>
    <row r="225" spans="1:7" x14ac:dyDescent="0.55000000000000004">
      <c r="A225">
        <v>71832</v>
      </c>
      <c r="B225">
        <v>908</v>
      </c>
      <c r="C225">
        <v>29922</v>
      </c>
      <c r="D225" s="1">
        <v>39600</v>
      </c>
      <c r="E225">
        <v>1</v>
      </c>
      <c r="F225">
        <v>16.271999999999998</v>
      </c>
      <c r="G225">
        <v>16.271999999999998</v>
      </c>
    </row>
    <row r="226" spans="1:7" x14ac:dyDescent="0.55000000000000004">
      <c r="A226">
        <v>71832</v>
      </c>
      <c r="B226">
        <v>782</v>
      </c>
      <c r="C226">
        <v>29922</v>
      </c>
      <c r="D226" s="1">
        <v>39600</v>
      </c>
      <c r="E226">
        <v>3</v>
      </c>
      <c r="F226">
        <v>1376.9939999999999</v>
      </c>
      <c r="G226">
        <v>4130.982</v>
      </c>
    </row>
    <row r="227" spans="1:7" x14ac:dyDescent="0.55000000000000004">
      <c r="A227">
        <v>71832</v>
      </c>
      <c r="B227">
        <v>937</v>
      </c>
      <c r="C227">
        <v>29922</v>
      </c>
      <c r="D227" s="1">
        <v>39600</v>
      </c>
      <c r="E227">
        <v>1</v>
      </c>
      <c r="F227">
        <v>48.594000000000001</v>
      </c>
      <c r="G227">
        <v>48.594000000000001</v>
      </c>
    </row>
    <row r="228" spans="1:7" x14ac:dyDescent="0.55000000000000004">
      <c r="A228">
        <v>71832</v>
      </c>
      <c r="B228">
        <v>936</v>
      </c>
      <c r="C228">
        <v>29922</v>
      </c>
      <c r="D228" s="1">
        <v>39600</v>
      </c>
      <c r="E228">
        <v>1</v>
      </c>
      <c r="F228">
        <v>37.253999999999998</v>
      </c>
      <c r="G228">
        <v>37.253999999999998</v>
      </c>
    </row>
    <row r="229" spans="1:7" x14ac:dyDescent="0.55000000000000004">
      <c r="A229">
        <v>71832</v>
      </c>
      <c r="B229">
        <v>743</v>
      </c>
      <c r="C229">
        <v>29922</v>
      </c>
      <c r="D229" s="1">
        <v>39600</v>
      </c>
      <c r="E229">
        <v>4</v>
      </c>
      <c r="F229">
        <v>809.76</v>
      </c>
      <c r="G229">
        <v>3239.04</v>
      </c>
    </row>
    <row r="230" spans="1:7" x14ac:dyDescent="0.55000000000000004">
      <c r="A230">
        <v>71832</v>
      </c>
      <c r="B230">
        <v>904</v>
      </c>
      <c r="C230">
        <v>29922</v>
      </c>
      <c r="D230" s="1">
        <v>39600</v>
      </c>
      <c r="E230">
        <v>5</v>
      </c>
      <c r="F230">
        <v>218.45400000000001</v>
      </c>
      <c r="G230">
        <v>1092.27</v>
      </c>
    </row>
    <row r="231" spans="1:7" x14ac:dyDescent="0.55000000000000004">
      <c r="A231">
        <v>71832</v>
      </c>
      <c r="B231">
        <v>748</v>
      </c>
      <c r="C231">
        <v>29922</v>
      </c>
      <c r="D231" s="1">
        <v>39600</v>
      </c>
      <c r="E231">
        <v>1</v>
      </c>
      <c r="F231">
        <v>818.7</v>
      </c>
      <c r="G231">
        <v>818.7</v>
      </c>
    </row>
    <row r="232" spans="1:7" x14ac:dyDescent="0.55000000000000004">
      <c r="A232">
        <v>71832</v>
      </c>
      <c r="B232">
        <v>910</v>
      </c>
      <c r="C232">
        <v>29922</v>
      </c>
      <c r="D232" s="1">
        <v>39600</v>
      </c>
      <c r="E232">
        <v>1</v>
      </c>
      <c r="F232">
        <v>31.584</v>
      </c>
      <c r="G232">
        <v>31.584</v>
      </c>
    </row>
    <row r="233" spans="1:7" x14ac:dyDescent="0.55000000000000004">
      <c r="A233">
        <v>71832</v>
      </c>
      <c r="B233">
        <v>784</v>
      </c>
      <c r="C233">
        <v>29922</v>
      </c>
      <c r="D233" s="1">
        <v>39600</v>
      </c>
      <c r="E233">
        <v>5</v>
      </c>
      <c r="F233">
        <v>1376.9939999999999</v>
      </c>
      <c r="G233">
        <v>6884.97</v>
      </c>
    </row>
    <row r="234" spans="1:7" x14ac:dyDescent="0.55000000000000004">
      <c r="A234">
        <v>71832</v>
      </c>
      <c r="B234">
        <v>990</v>
      </c>
      <c r="C234">
        <v>29922</v>
      </c>
      <c r="D234" s="1">
        <v>39600</v>
      </c>
      <c r="E234">
        <v>2</v>
      </c>
      <c r="F234">
        <v>323.99400000000003</v>
      </c>
      <c r="G234">
        <v>647.98800000000006</v>
      </c>
    </row>
    <row r="235" spans="1:7" x14ac:dyDescent="0.55000000000000004">
      <c r="A235">
        <v>71832</v>
      </c>
      <c r="B235">
        <v>992</v>
      </c>
      <c r="C235">
        <v>29922</v>
      </c>
      <c r="D235" s="1">
        <v>39600</v>
      </c>
      <c r="E235">
        <v>3</v>
      </c>
      <c r="F235">
        <v>323.99400000000003</v>
      </c>
      <c r="G235">
        <v>971.98199999999997</v>
      </c>
    </row>
    <row r="236" spans="1:7" x14ac:dyDescent="0.55000000000000004">
      <c r="A236">
        <v>71832</v>
      </c>
      <c r="B236">
        <v>779</v>
      </c>
      <c r="C236">
        <v>29922</v>
      </c>
      <c r="D236" s="1">
        <v>39600</v>
      </c>
      <c r="E236">
        <v>1</v>
      </c>
      <c r="F236">
        <v>1391.9939999999999</v>
      </c>
      <c r="G236">
        <v>1391.9939999999999</v>
      </c>
    </row>
    <row r="237" spans="1:7" x14ac:dyDescent="0.55000000000000004">
      <c r="A237">
        <v>71832</v>
      </c>
      <c r="B237">
        <v>780</v>
      </c>
      <c r="C237">
        <v>29922</v>
      </c>
      <c r="D237" s="1">
        <v>39600</v>
      </c>
      <c r="E237">
        <v>1</v>
      </c>
      <c r="F237">
        <v>1391.9939999999999</v>
      </c>
      <c r="G237">
        <v>1391.9939999999999</v>
      </c>
    </row>
    <row r="238" spans="1:7" x14ac:dyDescent="0.55000000000000004">
      <c r="A238">
        <v>71832</v>
      </c>
      <c r="B238">
        <v>944</v>
      </c>
      <c r="C238">
        <v>29922</v>
      </c>
      <c r="D238" s="1">
        <v>39600</v>
      </c>
      <c r="E238">
        <v>2</v>
      </c>
      <c r="F238">
        <v>158.43</v>
      </c>
      <c r="G238">
        <v>316.86</v>
      </c>
    </row>
    <row r="239" spans="1:7" x14ac:dyDescent="0.55000000000000004">
      <c r="A239">
        <v>71832</v>
      </c>
      <c r="B239">
        <v>808</v>
      </c>
      <c r="C239">
        <v>29922</v>
      </c>
      <c r="D239" s="1">
        <v>39600</v>
      </c>
      <c r="E239">
        <v>1</v>
      </c>
      <c r="F239">
        <v>26.724</v>
      </c>
      <c r="G239">
        <v>26.724</v>
      </c>
    </row>
    <row r="240" spans="1:7" x14ac:dyDescent="0.55000000000000004">
      <c r="A240">
        <v>71832</v>
      </c>
      <c r="B240">
        <v>809</v>
      </c>
      <c r="C240">
        <v>29922</v>
      </c>
      <c r="D240" s="1">
        <v>39600</v>
      </c>
      <c r="E240">
        <v>1</v>
      </c>
      <c r="F240">
        <v>37.152000000000001</v>
      </c>
      <c r="G240">
        <v>37.152000000000001</v>
      </c>
    </row>
    <row r="241" spans="1:7" x14ac:dyDescent="0.55000000000000004">
      <c r="A241">
        <v>71832</v>
      </c>
      <c r="B241">
        <v>935</v>
      </c>
      <c r="C241">
        <v>29922</v>
      </c>
      <c r="D241" s="1">
        <v>39600</v>
      </c>
      <c r="E241">
        <v>3</v>
      </c>
      <c r="F241">
        <v>24.294</v>
      </c>
      <c r="G241">
        <v>72.882000000000005</v>
      </c>
    </row>
    <row r="242" spans="1:7" x14ac:dyDescent="0.55000000000000004">
      <c r="A242">
        <v>71832</v>
      </c>
      <c r="B242">
        <v>926</v>
      </c>
      <c r="C242">
        <v>29922</v>
      </c>
      <c r="D242" s="1">
        <v>39600</v>
      </c>
      <c r="E242">
        <v>1</v>
      </c>
      <c r="F242">
        <v>149.874</v>
      </c>
      <c r="G242">
        <v>149.874</v>
      </c>
    </row>
    <row r="243" spans="1:7" x14ac:dyDescent="0.55000000000000004">
      <c r="A243">
        <v>71832</v>
      </c>
      <c r="B243">
        <v>917</v>
      </c>
      <c r="C243">
        <v>29922</v>
      </c>
      <c r="D243" s="1">
        <v>39600</v>
      </c>
      <c r="E243">
        <v>6</v>
      </c>
      <c r="F243">
        <v>158.43</v>
      </c>
      <c r="G243">
        <v>950.58</v>
      </c>
    </row>
    <row r="244" spans="1:7" x14ac:dyDescent="0.55000000000000004">
      <c r="A244">
        <v>71832</v>
      </c>
      <c r="B244">
        <v>920</v>
      </c>
      <c r="C244">
        <v>29922</v>
      </c>
      <c r="D244" s="1">
        <v>39600</v>
      </c>
      <c r="E244">
        <v>1</v>
      </c>
      <c r="F244">
        <v>158.43</v>
      </c>
      <c r="G244">
        <v>158.43</v>
      </c>
    </row>
    <row r="245" spans="1:7" x14ac:dyDescent="0.55000000000000004">
      <c r="A245">
        <v>71845</v>
      </c>
      <c r="B245">
        <v>948</v>
      </c>
      <c r="C245">
        <v>29938</v>
      </c>
      <c r="D245" s="1">
        <v>39600</v>
      </c>
      <c r="E245">
        <v>2</v>
      </c>
      <c r="F245">
        <v>63.9</v>
      </c>
      <c r="G245">
        <v>127.8</v>
      </c>
    </row>
    <row r="246" spans="1:7" x14ac:dyDescent="0.55000000000000004">
      <c r="A246">
        <v>71845</v>
      </c>
      <c r="B246">
        <v>904</v>
      </c>
      <c r="C246">
        <v>29938</v>
      </c>
      <c r="D246" s="1">
        <v>39600</v>
      </c>
      <c r="E246">
        <v>4</v>
      </c>
      <c r="F246">
        <v>218.45400000000001</v>
      </c>
      <c r="G246">
        <v>873.81600000000003</v>
      </c>
    </row>
    <row r="247" spans="1:7" x14ac:dyDescent="0.55000000000000004">
      <c r="A247">
        <v>71845</v>
      </c>
      <c r="B247">
        <v>742</v>
      </c>
      <c r="C247">
        <v>29938</v>
      </c>
      <c r="D247" s="1">
        <v>39600</v>
      </c>
      <c r="E247">
        <v>3</v>
      </c>
      <c r="F247">
        <v>818.7</v>
      </c>
      <c r="G247">
        <v>2456.1</v>
      </c>
    </row>
    <row r="248" spans="1:7" x14ac:dyDescent="0.55000000000000004">
      <c r="A248">
        <v>71845</v>
      </c>
      <c r="B248">
        <v>780</v>
      </c>
      <c r="C248">
        <v>29938</v>
      </c>
      <c r="D248" s="1">
        <v>39600</v>
      </c>
      <c r="E248">
        <v>2</v>
      </c>
      <c r="F248">
        <v>1391.9939999999999</v>
      </c>
      <c r="G248">
        <v>2783.9879999999998</v>
      </c>
    </row>
    <row r="249" spans="1:7" x14ac:dyDescent="0.55000000000000004">
      <c r="A249">
        <v>71845</v>
      </c>
      <c r="B249">
        <v>945</v>
      </c>
      <c r="C249">
        <v>29938</v>
      </c>
      <c r="D249" s="1">
        <v>39600</v>
      </c>
      <c r="E249">
        <v>1</v>
      </c>
      <c r="F249">
        <v>54.893999999999998</v>
      </c>
      <c r="G249">
        <v>54.893999999999998</v>
      </c>
    </row>
    <row r="250" spans="1:7" x14ac:dyDescent="0.55000000000000004">
      <c r="A250">
        <v>71845</v>
      </c>
      <c r="B250">
        <v>949</v>
      </c>
      <c r="C250">
        <v>29938</v>
      </c>
      <c r="D250" s="1">
        <v>39600</v>
      </c>
      <c r="E250">
        <v>3</v>
      </c>
      <c r="F250">
        <v>105.294</v>
      </c>
      <c r="G250">
        <v>315.88200000000001</v>
      </c>
    </row>
    <row r="251" spans="1:7" x14ac:dyDescent="0.55000000000000004">
      <c r="A251">
        <v>71845</v>
      </c>
      <c r="B251">
        <v>937</v>
      </c>
      <c r="C251">
        <v>29938</v>
      </c>
      <c r="D251" s="1">
        <v>39600</v>
      </c>
      <c r="E251">
        <v>2</v>
      </c>
      <c r="F251">
        <v>48.594000000000001</v>
      </c>
      <c r="G251">
        <v>97.188000000000002</v>
      </c>
    </row>
    <row r="252" spans="1:7" x14ac:dyDescent="0.55000000000000004">
      <c r="A252">
        <v>71845</v>
      </c>
      <c r="B252">
        <v>867</v>
      </c>
      <c r="C252">
        <v>29938</v>
      </c>
      <c r="D252" s="1">
        <v>39600</v>
      </c>
      <c r="E252">
        <v>2</v>
      </c>
      <c r="F252">
        <v>41.994</v>
      </c>
      <c r="G252">
        <v>83.988</v>
      </c>
    </row>
    <row r="253" spans="1:7" x14ac:dyDescent="0.55000000000000004">
      <c r="A253">
        <v>71845</v>
      </c>
      <c r="B253">
        <v>748</v>
      </c>
      <c r="C253">
        <v>29938</v>
      </c>
      <c r="D253" s="1">
        <v>39600</v>
      </c>
      <c r="E253">
        <v>1</v>
      </c>
      <c r="F253">
        <v>818.7</v>
      </c>
      <c r="G253">
        <v>818.7</v>
      </c>
    </row>
    <row r="254" spans="1:7" x14ac:dyDescent="0.55000000000000004">
      <c r="A254">
        <v>71845</v>
      </c>
      <c r="B254">
        <v>905</v>
      </c>
      <c r="C254">
        <v>29938</v>
      </c>
      <c r="D254" s="1">
        <v>39600</v>
      </c>
      <c r="E254">
        <v>2</v>
      </c>
      <c r="F254">
        <v>218.45400000000001</v>
      </c>
      <c r="G254">
        <v>436.90800000000002</v>
      </c>
    </row>
    <row r="255" spans="1:7" x14ac:dyDescent="0.55000000000000004">
      <c r="A255">
        <v>71845</v>
      </c>
      <c r="B255">
        <v>781</v>
      </c>
      <c r="C255">
        <v>29938</v>
      </c>
      <c r="D255" s="1">
        <v>39600</v>
      </c>
      <c r="E255">
        <v>2</v>
      </c>
      <c r="F255">
        <v>1391.9939999999999</v>
      </c>
      <c r="G255">
        <v>2783.9879999999998</v>
      </c>
    </row>
    <row r="256" spans="1:7" x14ac:dyDescent="0.55000000000000004">
      <c r="A256">
        <v>71845</v>
      </c>
      <c r="B256">
        <v>869</v>
      </c>
      <c r="C256">
        <v>29938</v>
      </c>
      <c r="D256" s="1">
        <v>39600</v>
      </c>
      <c r="E256">
        <v>3</v>
      </c>
      <c r="F256">
        <v>41.994</v>
      </c>
      <c r="G256">
        <v>125.982</v>
      </c>
    </row>
    <row r="257" spans="1:7" x14ac:dyDescent="0.55000000000000004">
      <c r="A257">
        <v>71845</v>
      </c>
      <c r="B257">
        <v>783</v>
      </c>
      <c r="C257">
        <v>29938</v>
      </c>
      <c r="D257" s="1">
        <v>39600</v>
      </c>
      <c r="E257">
        <v>5</v>
      </c>
      <c r="F257">
        <v>1376.9939999999999</v>
      </c>
      <c r="G257">
        <v>6884.97</v>
      </c>
    </row>
    <row r="258" spans="1:7" x14ac:dyDescent="0.55000000000000004">
      <c r="A258">
        <v>71845</v>
      </c>
      <c r="B258">
        <v>784</v>
      </c>
      <c r="C258">
        <v>29938</v>
      </c>
      <c r="D258" s="1">
        <v>39600</v>
      </c>
      <c r="E258">
        <v>2</v>
      </c>
      <c r="F258">
        <v>1376.9939999999999</v>
      </c>
      <c r="G258">
        <v>2753.9879999999998</v>
      </c>
    </row>
    <row r="259" spans="1:7" x14ac:dyDescent="0.55000000000000004">
      <c r="A259">
        <v>71845</v>
      </c>
      <c r="B259">
        <v>951</v>
      </c>
      <c r="C259">
        <v>29938</v>
      </c>
      <c r="D259" s="1">
        <v>39600</v>
      </c>
      <c r="E259">
        <v>1</v>
      </c>
      <c r="F259">
        <v>242.994</v>
      </c>
      <c r="G259">
        <v>242.994</v>
      </c>
    </row>
    <row r="260" spans="1:7" x14ac:dyDescent="0.55000000000000004">
      <c r="A260">
        <v>71845</v>
      </c>
      <c r="B260">
        <v>747</v>
      </c>
      <c r="C260">
        <v>29938</v>
      </c>
      <c r="D260" s="1">
        <v>39600</v>
      </c>
      <c r="E260">
        <v>3</v>
      </c>
      <c r="F260">
        <v>809.76</v>
      </c>
      <c r="G260">
        <v>2429.2800000000002</v>
      </c>
    </row>
    <row r="261" spans="1:7" x14ac:dyDescent="0.55000000000000004">
      <c r="A261">
        <v>71845</v>
      </c>
      <c r="B261">
        <v>809</v>
      </c>
      <c r="C261">
        <v>29938</v>
      </c>
      <c r="D261" s="1">
        <v>39600</v>
      </c>
      <c r="E261">
        <v>1</v>
      </c>
      <c r="F261">
        <v>37.152000000000001</v>
      </c>
      <c r="G261">
        <v>37.152000000000001</v>
      </c>
    </row>
    <row r="262" spans="1:7" x14ac:dyDescent="0.55000000000000004">
      <c r="A262">
        <v>71845</v>
      </c>
      <c r="B262">
        <v>920</v>
      </c>
      <c r="C262">
        <v>29938</v>
      </c>
      <c r="D262" s="1">
        <v>39600</v>
      </c>
      <c r="E262">
        <v>2</v>
      </c>
      <c r="F262">
        <v>158.43</v>
      </c>
      <c r="G262">
        <v>316.86</v>
      </c>
    </row>
    <row r="263" spans="1:7" x14ac:dyDescent="0.55000000000000004">
      <c r="A263">
        <v>71845</v>
      </c>
      <c r="B263">
        <v>743</v>
      </c>
      <c r="C263">
        <v>29938</v>
      </c>
      <c r="D263" s="1">
        <v>39600</v>
      </c>
      <c r="E263">
        <v>2</v>
      </c>
      <c r="F263">
        <v>809.76</v>
      </c>
      <c r="G263">
        <v>1619.52</v>
      </c>
    </row>
    <row r="264" spans="1:7" x14ac:dyDescent="0.55000000000000004">
      <c r="A264">
        <v>71845</v>
      </c>
      <c r="B264">
        <v>715</v>
      </c>
      <c r="C264">
        <v>29938</v>
      </c>
      <c r="D264" s="1">
        <v>39600</v>
      </c>
      <c r="E264">
        <v>2</v>
      </c>
      <c r="F264">
        <v>29.994</v>
      </c>
      <c r="G264">
        <v>59.988</v>
      </c>
    </row>
    <row r="265" spans="1:7" x14ac:dyDescent="0.55000000000000004">
      <c r="A265">
        <v>71845</v>
      </c>
      <c r="B265">
        <v>944</v>
      </c>
      <c r="C265">
        <v>29938</v>
      </c>
      <c r="D265" s="1">
        <v>39600</v>
      </c>
      <c r="E265">
        <v>2</v>
      </c>
      <c r="F265">
        <v>158.43</v>
      </c>
      <c r="G265">
        <v>316.86</v>
      </c>
    </row>
    <row r="266" spans="1:7" x14ac:dyDescent="0.55000000000000004">
      <c r="A266">
        <v>71845</v>
      </c>
      <c r="B266">
        <v>808</v>
      </c>
      <c r="C266">
        <v>29938</v>
      </c>
      <c r="D266" s="1">
        <v>39600</v>
      </c>
      <c r="E266">
        <v>1</v>
      </c>
      <c r="F266">
        <v>26.724</v>
      </c>
      <c r="G266">
        <v>26.724</v>
      </c>
    </row>
    <row r="267" spans="1:7" x14ac:dyDescent="0.55000000000000004">
      <c r="A267">
        <v>71845</v>
      </c>
      <c r="B267">
        <v>909</v>
      </c>
      <c r="C267">
        <v>29938</v>
      </c>
      <c r="D267" s="1">
        <v>39600</v>
      </c>
      <c r="E267">
        <v>8</v>
      </c>
      <c r="F267">
        <v>23.484000000000002</v>
      </c>
      <c r="G267">
        <v>187.87200000000001</v>
      </c>
    </row>
    <row r="268" spans="1:7" x14ac:dyDescent="0.55000000000000004">
      <c r="A268">
        <v>71845</v>
      </c>
      <c r="B268">
        <v>925</v>
      </c>
      <c r="C268">
        <v>29938</v>
      </c>
      <c r="D268" s="1">
        <v>39600</v>
      </c>
      <c r="E268">
        <v>2</v>
      </c>
      <c r="F268">
        <v>149.874</v>
      </c>
      <c r="G268">
        <v>299.74799999999999</v>
      </c>
    </row>
    <row r="269" spans="1:7" x14ac:dyDescent="0.55000000000000004">
      <c r="A269">
        <v>71845</v>
      </c>
      <c r="B269">
        <v>782</v>
      </c>
      <c r="C269">
        <v>29938</v>
      </c>
      <c r="D269" s="1">
        <v>39600</v>
      </c>
      <c r="E269">
        <v>2</v>
      </c>
      <c r="F269">
        <v>1376.9939999999999</v>
      </c>
      <c r="G269">
        <v>2753.9879999999998</v>
      </c>
    </row>
    <row r="270" spans="1:7" x14ac:dyDescent="0.55000000000000004">
      <c r="A270">
        <v>71845</v>
      </c>
      <c r="B270">
        <v>910</v>
      </c>
      <c r="C270">
        <v>29938</v>
      </c>
      <c r="D270" s="1">
        <v>39600</v>
      </c>
      <c r="E270">
        <v>2</v>
      </c>
      <c r="F270">
        <v>31.584</v>
      </c>
      <c r="G270">
        <v>63.167999999999999</v>
      </c>
    </row>
    <row r="271" spans="1:7" x14ac:dyDescent="0.55000000000000004">
      <c r="A271">
        <v>71845</v>
      </c>
      <c r="B271">
        <v>996</v>
      </c>
      <c r="C271">
        <v>29938</v>
      </c>
      <c r="D271" s="1">
        <v>39600</v>
      </c>
      <c r="E271">
        <v>3</v>
      </c>
      <c r="F271">
        <v>72.894000000000005</v>
      </c>
      <c r="G271">
        <v>218.68199999999999</v>
      </c>
    </row>
    <row r="272" spans="1:7" x14ac:dyDescent="0.55000000000000004">
      <c r="A272">
        <v>71845</v>
      </c>
      <c r="B272">
        <v>779</v>
      </c>
      <c r="C272">
        <v>29938</v>
      </c>
      <c r="D272" s="1">
        <v>39600</v>
      </c>
      <c r="E272">
        <v>3</v>
      </c>
      <c r="F272">
        <v>1391.9939999999999</v>
      </c>
      <c r="G272">
        <v>4175.982</v>
      </c>
    </row>
    <row r="273" spans="1:7" x14ac:dyDescent="0.55000000000000004">
      <c r="A273">
        <v>71845</v>
      </c>
      <c r="B273">
        <v>924</v>
      </c>
      <c r="C273">
        <v>29938</v>
      </c>
      <c r="D273" s="1">
        <v>39600</v>
      </c>
      <c r="E273">
        <v>4</v>
      </c>
      <c r="F273">
        <v>149.874</v>
      </c>
      <c r="G273">
        <v>599.49599999999998</v>
      </c>
    </row>
    <row r="274" spans="1:7" x14ac:dyDescent="0.55000000000000004">
      <c r="A274">
        <v>71845</v>
      </c>
      <c r="B274">
        <v>952</v>
      </c>
      <c r="C274">
        <v>29938</v>
      </c>
      <c r="D274" s="1">
        <v>39600</v>
      </c>
      <c r="E274">
        <v>3</v>
      </c>
      <c r="F274">
        <v>12.144</v>
      </c>
      <c r="G274">
        <v>36.432000000000002</v>
      </c>
    </row>
    <row r="275" spans="1:7" x14ac:dyDescent="0.55000000000000004">
      <c r="A275">
        <v>71846</v>
      </c>
      <c r="B275">
        <v>936</v>
      </c>
      <c r="C275">
        <v>30102</v>
      </c>
      <c r="D275" s="1">
        <v>39600</v>
      </c>
      <c r="E275">
        <v>2</v>
      </c>
      <c r="F275">
        <v>37.253999999999998</v>
      </c>
      <c r="G275">
        <v>74.507999999999996</v>
      </c>
    </row>
    <row r="276" spans="1:7" x14ac:dyDescent="0.55000000000000004">
      <c r="A276">
        <v>71846</v>
      </c>
      <c r="B276">
        <v>739</v>
      </c>
      <c r="C276">
        <v>30102</v>
      </c>
      <c r="D276" s="1">
        <v>39600</v>
      </c>
      <c r="E276">
        <v>1</v>
      </c>
      <c r="F276">
        <v>818.7</v>
      </c>
      <c r="G276">
        <v>818.7</v>
      </c>
    </row>
    <row r="277" spans="1:7" x14ac:dyDescent="0.55000000000000004">
      <c r="A277">
        <v>71846</v>
      </c>
      <c r="B277">
        <v>981</v>
      </c>
      <c r="C277">
        <v>30102</v>
      </c>
      <c r="D277" s="1">
        <v>39600</v>
      </c>
      <c r="E277">
        <v>2</v>
      </c>
      <c r="F277">
        <v>461.69400000000002</v>
      </c>
      <c r="G277">
        <v>923.38800000000003</v>
      </c>
    </row>
    <row r="278" spans="1:7" x14ac:dyDescent="0.55000000000000004">
      <c r="A278">
        <v>71856</v>
      </c>
      <c r="B278">
        <v>962</v>
      </c>
      <c r="C278">
        <v>30033</v>
      </c>
      <c r="D278" s="1">
        <v>39600</v>
      </c>
      <c r="E278">
        <v>1</v>
      </c>
      <c r="F278">
        <v>445.41</v>
      </c>
      <c r="G278">
        <v>445.41</v>
      </c>
    </row>
    <row r="279" spans="1:7" x14ac:dyDescent="0.55000000000000004">
      <c r="A279">
        <v>71856</v>
      </c>
      <c r="B279">
        <v>945</v>
      </c>
      <c r="C279">
        <v>30033</v>
      </c>
      <c r="D279" s="1">
        <v>39600</v>
      </c>
      <c r="E279">
        <v>1</v>
      </c>
      <c r="F279">
        <v>54.893999999999998</v>
      </c>
      <c r="G279">
        <v>54.893999999999998</v>
      </c>
    </row>
    <row r="280" spans="1:7" x14ac:dyDescent="0.55000000000000004">
      <c r="A280">
        <v>71858</v>
      </c>
      <c r="B280">
        <v>979</v>
      </c>
      <c r="C280">
        <v>29653</v>
      </c>
      <c r="D280" s="1">
        <v>39600</v>
      </c>
      <c r="E280">
        <v>3</v>
      </c>
      <c r="F280">
        <v>445.41</v>
      </c>
      <c r="G280">
        <v>1336.23</v>
      </c>
    </row>
    <row r="281" spans="1:7" x14ac:dyDescent="0.55000000000000004">
      <c r="A281">
        <v>71858</v>
      </c>
      <c r="B281">
        <v>962</v>
      </c>
      <c r="C281">
        <v>29653</v>
      </c>
      <c r="D281" s="1">
        <v>39600</v>
      </c>
      <c r="E281">
        <v>1</v>
      </c>
      <c r="F281">
        <v>445.41</v>
      </c>
      <c r="G281">
        <v>445.41</v>
      </c>
    </row>
    <row r="282" spans="1:7" x14ac:dyDescent="0.55000000000000004">
      <c r="A282">
        <v>71858</v>
      </c>
      <c r="B282">
        <v>953</v>
      </c>
      <c r="C282">
        <v>29653</v>
      </c>
      <c r="D282" s="1">
        <v>39600</v>
      </c>
      <c r="E282">
        <v>1</v>
      </c>
      <c r="F282">
        <v>728.91</v>
      </c>
      <c r="G282">
        <v>728.91</v>
      </c>
    </row>
    <row r="283" spans="1:7" x14ac:dyDescent="0.55000000000000004">
      <c r="A283">
        <v>71858</v>
      </c>
      <c r="B283">
        <v>715</v>
      </c>
      <c r="C283">
        <v>29653</v>
      </c>
      <c r="D283" s="1">
        <v>39600</v>
      </c>
      <c r="E283">
        <v>2</v>
      </c>
      <c r="F283">
        <v>29.994</v>
      </c>
      <c r="G283">
        <v>59.988</v>
      </c>
    </row>
    <row r="284" spans="1:7" x14ac:dyDescent="0.55000000000000004">
      <c r="A284">
        <v>71858</v>
      </c>
      <c r="B284">
        <v>883</v>
      </c>
      <c r="C284">
        <v>29653</v>
      </c>
      <c r="D284" s="1">
        <v>39600</v>
      </c>
      <c r="E284">
        <v>2</v>
      </c>
      <c r="F284">
        <v>32.393999999999998</v>
      </c>
      <c r="G284">
        <v>64.787999999999997</v>
      </c>
    </row>
    <row r="285" spans="1:7" x14ac:dyDescent="0.55000000000000004">
      <c r="A285">
        <v>71858</v>
      </c>
      <c r="B285">
        <v>957</v>
      </c>
      <c r="C285">
        <v>29653</v>
      </c>
      <c r="D285" s="1">
        <v>39600</v>
      </c>
      <c r="E285">
        <v>1</v>
      </c>
      <c r="F285">
        <v>1430.442</v>
      </c>
      <c r="G285">
        <v>1430.442</v>
      </c>
    </row>
    <row r="286" spans="1:7" x14ac:dyDescent="0.55000000000000004">
      <c r="A286">
        <v>71858</v>
      </c>
      <c r="B286">
        <v>965</v>
      </c>
      <c r="C286">
        <v>29653</v>
      </c>
      <c r="D286" s="1">
        <v>39600</v>
      </c>
      <c r="E286">
        <v>2</v>
      </c>
      <c r="F286">
        <v>445.41</v>
      </c>
      <c r="G286">
        <v>890.82</v>
      </c>
    </row>
    <row r="287" spans="1:7" x14ac:dyDescent="0.55000000000000004">
      <c r="A287">
        <v>71858</v>
      </c>
      <c r="B287">
        <v>952</v>
      </c>
      <c r="C287">
        <v>29653</v>
      </c>
      <c r="D287" s="1">
        <v>39600</v>
      </c>
      <c r="E287">
        <v>1</v>
      </c>
      <c r="F287">
        <v>12.144</v>
      </c>
      <c r="G287">
        <v>12.144</v>
      </c>
    </row>
    <row r="288" spans="1:7" x14ac:dyDescent="0.55000000000000004">
      <c r="A288">
        <v>71858</v>
      </c>
      <c r="B288">
        <v>948</v>
      </c>
      <c r="C288">
        <v>29653</v>
      </c>
      <c r="D288" s="1">
        <v>39600</v>
      </c>
      <c r="E288">
        <v>2</v>
      </c>
      <c r="F288">
        <v>63.9</v>
      </c>
      <c r="G288">
        <v>127.8</v>
      </c>
    </row>
    <row r="289" spans="1:7" x14ac:dyDescent="0.55000000000000004">
      <c r="A289">
        <v>71858</v>
      </c>
      <c r="B289">
        <v>945</v>
      </c>
      <c r="C289">
        <v>29653</v>
      </c>
      <c r="D289" s="1">
        <v>39600</v>
      </c>
      <c r="E289">
        <v>1</v>
      </c>
      <c r="F289">
        <v>54.893999999999998</v>
      </c>
      <c r="G289">
        <v>54.893999999999998</v>
      </c>
    </row>
    <row r="290" spans="1:7" x14ac:dyDescent="0.55000000000000004">
      <c r="A290">
        <v>71858</v>
      </c>
      <c r="B290">
        <v>972</v>
      </c>
      <c r="C290">
        <v>29653</v>
      </c>
      <c r="D290" s="1">
        <v>39600</v>
      </c>
      <c r="E290">
        <v>1</v>
      </c>
      <c r="F290">
        <v>728.91</v>
      </c>
      <c r="G290">
        <v>728.91</v>
      </c>
    </row>
    <row r="291" spans="1:7" x14ac:dyDescent="0.55000000000000004">
      <c r="A291">
        <v>71858</v>
      </c>
      <c r="B291">
        <v>877</v>
      </c>
      <c r="C291">
        <v>29653</v>
      </c>
      <c r="D291" s="1">
        <v>39600</v>
      </c>
      <c r="E291">
        <v>1</v>
      </c>
      <c r="F291">
        <v>4.7699999999999996</v>
      </c>
      <c r="G291">
        <v>4.7699999999999996</v>
      </c>
    </row>
    <row r="292" spans="1:7" x14ac:dyDescent="0.55000000000000004">
      <c r="A292">
        <v>71858</v>
      </c>
      <c r="B292">
        <v>958</v>
      </c>
      <c r="C292">
        <v>29653</v>
      </c>
      <c r="D292" s="1">
        <v>39600</v>
      </c>
      <c r="E292">
        <v>1</v>
      </c>
      <c r="F292">
        <v>445.41</v>
      </c>
      <c r="G292">
        <v>445.41</v>
      </c>
    </row>
    <row r="293" spans="1:7" x14ac:dyDescent="0.55000000000000004">
      <c r="A293">
        <v>71858</v>
      </c>
      <c r="B293">
        <v>969</v>
      </c>
      <c r="C293">
        <v>29653</v>
      </c>
      <c r="D293" s="1">
        <v>39600</v>
      </c>
      <c r="E293">
        <v>1</v>
      </c>
      <c r="F293">
        <v>1430.442</v>
      </c>
      <c r="G293">
        <v>1430.442</v>
      </c>
    </row>
    <row r="294" spans="1:7" x14ac:dyDescent="0.55000000000000004">
      <c r="A294">
        <v>71858</v>
      </c>
      <c r="B294">
        <v>961</v>
      </c>
      <c r="C294">
        <v>29653</v>
      </c>
      <c r="D294" s="1">
        <v>39600</v>
      </c>
      <c r="E294">
        <v>2</v>
      </c>
      <c r="F294">
        <v>445.41</v>
      </c>
      <c r="G294">
        <v>890.82</v>
      </c>
    </row>
    <row r="295" spans="1:7" x14ac:dyDescent="0.55000000000000004">
      <c r="A295">
        <v>71858</v>
      </c>
      <c r="B295">
        <v>966</v>
      </c>
      <c r="C295">
        <v>29653</v>
      </c>
      <c r="D295" s="1">
        <v>39600</v>
      </c>
      <c r="E295">
        <v>2</v>
      </c>
      <c r="F295">
        <v>1430.442</v>
      </c>
      <c r="G295">
        <v>2860.884</v>
      </c>
    </row>
    <row r="296" spans="1:7" x14ac:dyDescent="0.55000000000000004">
      <c r="A296">
        <v>71858</v>
      </c>
      <c r="B296">
        <v>712</v>
      </c>
      <c r="C296">
        <v>29653</v>
      </c>
      <c r="D296" s="1">
        <v>39600</v>
      </c>
      <c r="E296">
        <v>3</v>
      </c>
      <c r="F296">
        <v>5.3940000000000001</v>
      </c>
      <c r="G296">
        <v>16.181999999999999</v>
      </c>
    </row>
    <row r="297" spans="1:7" x14ac:dyDescent="0.55000000000000004">
      <c r="A297">
        <v>71863</v>
      </c>
      <c r="B297">
        <v>874</v>
      </c>
      <c r="C297">
        <v>29975</v>
      </c>
      <c r="D297" s="1">
        <v>39600</v>
      </c>
      <c r="E297">
        <v>2</v>
      </c>
      <c r="F297">
        <v>5.3940000000000001</v>
      </c>
      <c r="G297">
        <v>10.788</v>
      </c>
    </row>
    <row r="298" spans="1:7" x14ac:dyDescent="0.55000000000000004">
      <c r="A298">
        <v>71863</v>
      </c>
      <c r="B298">
        <v>998</v>
      </c>
      <c r="C298">
        <v>29975</v>
      </c>
      <c r="D298" s="1">
        <v>39600</v>
      </c>
      <c r="E298">
        <v>2</v>
      </c>
      <c r="F298">
        <v>323.99400000000003</v>
      </c>
      <c r="G298">
        <v>647.98800000000006</v>
      </c>
    </row>
    <row r="299" spans="1:7" x14ac:dyDescent="0.55000000000000004">
      <c r="A299">
        <v>71863</v>
      </c>
      <c r="B299">
        <v>973</v>
      </c>
      <c r="C299">
        <v>29975</v>
      </c>
      <c r="D299" s="1">
        <v>39600</v>
      </c>
      <c r="E299">
        <v>1</v>
      </c>
      <c r="F299">
        <v>1020.5940000000001</v>
      </c>
      <c r="G299">
        <v>1020.5940000000001</v>
      </c>
    </row>
    <row r="300" spans="1:7" x14ac:dyDescent="0.55000000000000004">
      <c r="A300">
        <v>71863</v>
      </c>
      <c r="B300">
        <v>711</v>
      </c>
      <c r="C300">
        <v>29975</v>
      </c>
      <c r="D300" s="1">
        <v>39600</v>
      </c>
      <c r="E300">
        <v>1</v>
      </c>
      <c r="F300">
        <v>20.994</v>
      </c>
      <c r="G300">
        <v>20.994</v>
      </c>
    </row>
    <row r="301" spans="1:7" x14ac:dyDescent="0.55000000000000004">
      <c r="A301">
        <v>71863</v>
      </c>
      <c r="B301">
        <v>999</v>
      </c>
      <c r="C301">
        <v>29975</v>
      </c>
      <c r="D301" s="1">
        <v>39600</v>
      </c>
      <c r="E301">
        <v>3</v>
      </c>
      <c r="F301">
        <v>323.99400000000003</v>
      </c>
      <c r="G301">
        <v>971.98199999999997</v>
      </c>
    </row>
    <row r="302" spans="1:7" x14ac:dyDescent="0.55000000000000004">
      <c r="A302">
        <v>71863</v>
      </c>
      <c r="B302">
        <v>938</v>
      </c>
      <c r="C302">
        <v>29975</v>
      </c>
      <c r="D302" s="1">
        <v>39600</v>
      </c>
      <c r="E302">
        <v>2</v>
      </c>
      <c r="F302">
        <v>24.294</v>
      </c>
      <c r="G302">
        <v>48.588000000000001</v>
      </c>
    </row>
    <row r="303" spans="1:7" x14ac:dyDescent="0.55000000000000004">
      <c r="A303">
        <v>71867</v>
      </c>
      <c r="B303">
        <v>717</v>
      </c>
      <c r="C303">
        <v>29644</v>
      </c>
      <c r="D303" s="1">
        <v>39600</v>
      </c>
      <c r="E303">
        <v>1</v>
      </c>
      <c r="F303">
        <v>858.9</v>
      </c>
      <c r="G303">
        <v>858.9</v>
      </c>
    </row>
    <row r="304" spans="1:7" x14ac:dyDescent="0.55000000000000004">
      <c r="A304">
        <v>71885</v>
      </c>
      <c r="B304">
        <v>876</v>
      </c>
      <c r="C304">
        <v>29612</v>
      </c>
      <c r="D304" s="1">
        <v>39600</v>
      </c>
      <c r="E304">
        <v>3</v>
      </c>
      <c r="F304">
        <v>72</v>
      </c>
      <c r="G304">
        <v>216</v>
      </c>
    </row>
    <row r="305" spans="1:7" x14ac:dyDescent="0.55000000000000004">
      <c r="A305">
        <v>71885</v>
      </c>
      <c r="B305">
        <v>884</v>
      </c>
      <c r="C305">
        <v>29612</v>
      </c>
      <c r="D305" s="1">
        <v>39600</v>
      </c>
      <c r="E305">
        <v>6</v>
      </c>
      <c r="F305">
        <v>32.393999999999998</v>
      </c>
      <c r="G305">
        <v>194.364</v>
      </c>
    </row>
    <row r="306" spans="1:7" x14ac:dyDescent="0.55000000000000004">
      <c r="A306">
        <v>71885</v>
      </c>
      <c r="B306">
        <v>864</v>
      </c>
      <c r="C306">
        <v>29612</v>
      </c>
      <c r="D306" s="1">
        <v>39600</v>
      </c>
      <c r="E306">
        <v>3</v>
      </c>
      <c r="F306">
        <v>38.1</v>
      </c>
      <c r="G306">
        <v>114.3</v>
      </c>
    </row>
    <row r="307" spans="1:7" x14ac:dyDescent="0.55000000000000004">
      <c r="A307">
        <v>71895</v>
      </c>
      <c r="B307">
        <v>909</v>
      </c>
      <c r="C307">
        <v>29584</v>
      </c>
      <c r="D307" s="1">
        <v>39600</v>
      </c>
      <c r="E307">
        <v>2</v>
      </c>
      <c r="F307">
        <v>23.484000000000002</v>
      </c>
      <c r="G307">
        <v>46.968000000000004</v>
      </c>
    </row>
    <row r="308" spans="1:7" x14ac:dyDescent="0.55000000000000004">
      <c r="A308">
        <v>71895</v>
      </c>
      <c r="B308">
        <v>715</v>
      </c>
      <c r="C308">
        <v>29584</v>
      </c>
      <c r="D308" s="1">
        <v>39600</v>
      </c>
      <c r="E308">
        <v>2</v>
      </c>
      <c r="F308">
        <v>29.994</v>
      </c>
      <c r="G308">
        <v>59.988</v>
      </c>
    </row>
    <row r="309" spans="1:7" x14ac:dyDescent="0.55000000000000004">
      <c r="A309">
        <v>71895</v>
      </c>
      <c r="B309">
        <v>864</v>
      </c>
      <c r="C309">
        <v>29584</v>
      </c>
      <c r="D309" s="1">
        <v>39600</v>
      </c>
      <c r="E309">
        <v>3</v>
      </c>
      <c r="F309">
        <v>38.1</v>
      </c>
      <c r="G309">
        <v>114.3</v>
      </c>
    </row>
    <row r="310" spans="1:7" x14ac:dyDescent="0.55000000000000004">
      <c r="A310">
        <v>71897</v>
      </c>
      <c r="B310">
        <v>966</v>
      </c>
      <c r="C310">
        <v>29877</v>
      </c>
      <c r="D310" s="1">
        <v>39600</v>
      </c>
      <c r="E310">
        <v>1</v>
      </c>
      <c r="F310">
        <v>1430.442</v>
      </c>
      <c r="G310">
        <v>1430.442</v>
      </c>
    </row>
    <row r="311" spans="1:7" x14ac:dyDescent="0.55000000000000004">
      <c r="A311">
        <v>71897</v>
      </c>
      <c r="B311">
        <v>979</v>
      </c>
      <c r="C311">
        <v>29877</v>
      </c>
      <c r="D311" s="1">
        <v>39600</v>
      </c>
      <c r="E311">
        <v>4</v>
      </c>
      <c r="F311">
        <v>445.41</v>
      </c>
      <c r="G311">
        <v>1781.64</v>
      </c>
    </row>
    <row r="312" spans="1:7" x14ac:dyDescent="0.55000000000000004">
      <c r="A312">
        <v>71897</v>
      </c>
      <c r="B312">
        <v>969</v>
      </c>
      <c r="C312">
        <v>29877</v>
      </c>
      <c r="D312" s="1">
        <v>39600</v>
      </c>
      <c r="E312">
        <v>3</v>
      </c>
      <c r="F312">
        <v>1430.442</v>
      </c>
      <c r="G312">
        <v>4291.326</v>
      </c>
    </row>
    <row r="313" spans="1:7" x14ac:dyDescent="0.55000000000000004">
      <c r="A313">
        <v>71897</v>
      </c>
      <c r="B313">
        <v>884</v>
      </c>
      <c r="C313">
        <v>29877</v>
      </c>
      <c r="D313" s="1">
        <v>39600</v>
      </c>
      <c r="E313">
        <v>3</v>
      </c>
      <c r="F313">
        <v>32.393999999999998</v>
      </c>
      <c r="G313">
        <v>97.182000000000002</v>
      </c>
    </row>
    <row r="314" spans="1:7" x14ac:dyDescent="0.55000000000000004">
      <c r="A314">
        <v>71897</v>
      </c>
      <c r="B314">
        <v>712</v>
      </c>
      <c r="C314">
        <v>29877</v>
      </c>
      <c r="D314" s="1">
        <v>39600</v>
      </c>
      <c r="E314">
        <v>4</v>
      </c>
      <c r="F314">
        <v>5.3940000000000001</v>
      </c>
      <c r="G314">
        <v>21.576000000000001</v>
      </c>
    </row>
    <row r="315" spans="1:7" x14ac:dyDescent="0.55000000000000004">
      <c r="A315">
        <v>71897</v>
      </c>
      <c r="B315">
        <v>954</v>
      </c>
      <c r="C315">
        <v>29877</v>
      </c>
      <c r="D315" s="1">
        <v>39600</v>
      </c>
      <c r="E315">
        <v>2</v>
      </c>
      <c r="F315">
        <v>1430.442</v>
      </c>
      <c r="G315">
        <v>2860.884</v>
      </c>
    </row>
    <row r="316" spans="1:7" x14ac:dyDescent="0.55000000000000004">
      <c r="A316">
        <v>71897</v>
      </c>
      <c r="B316">
        <v>864</v>
      </c>
      <c r="C316">
        <v>29877</v>
      </c>
      <c r="D316" s="1">
        <v>39600</v>
      </c>
      <c r="E316">
        <v>1</v>
      </c>
      <c r="F316">
        <v>38.1</v>
      </c>
      <c r="G316">
        <v>38.1</v>
      </c>
    </row>
    <row r="317" spans="1:7" x14ac:dyDescent="0.55000000000000004">
      <c r="A317">
        <v>71897</v>
      </c>
      <c r="B317">
        <v>948</v>
      </c>
      <c r="C317">
        <v>29877</v>
      </c>
      <c r="D317" s="1">
        <v>39600</v>
      </c>
      <c r="E317">
        <v>1</v>
      </c>
      <c r="F317">
        <v>63.9</v>
      </c>
      <c r="G317">
        <v>63.9</v>
      </c>
    </row>
    <row r="318" spans="1:7" x14ac:dyDescent="0.55000000000000004">
      <c r="A318">
        <v>71898</v>
      </c>
      <c r="B318">
        <v>969</v>
      </c>
      <c r="C318">
        <v>29932</v>
      </c>
      <c r="D318" s="1">
        <v>39600</v>
      </c>
      <c r="E318">
        <v>3</v>
      </c>
      <c r="F318">
        <v>1430.442</v>
      </c>
      <c r="G318">
        <v>4291.326</v>
      </c>
    </row>
    <row r="319" spans="1:7" x14ac:dyDescent="0.55000000000000004">
      <c r="A319">
        <v>71898</v>
      </c>
      <c r="B319">
        <v>978</v>
      </c>
      <c r="C319">
        <v>29932</v>
      </c>
      <c r="D319" s="1">
        <v>39600</v>
      </c>
      <c r="E319">
        <v>4</v>
      </c>
      <c r="F319">
        <v>445.41</v>
      </c>
      <c r="G319">
        <v>1781.64</v>
      </c>
    </row>
    <row r="320" spans="1:7" x14ac:dyDescent="0.55000000000000004">
      <c r="A320">
        <v>71898</v>
      </c>
      <c r="B320">
        <v>996</v>
      </c>
      <c r="C320">
        <v>29932</v>
      </c>
      <c r="D320" s="1">
        <v>39600</v>
      </c>
      <c r="E320">
        <v>4</v>
      </c>
      <c r="F320">
        <v>72.894000000000005</v>
      </c>
      <c r="G320">
        <v>291.57600000000002</v>
      </c>
    </row>
    <row r="321" spans="1:7" x14ac:dyDescent="0.55000000000000004">
      <c r="A321">
        <v>71898</v>
      </c>
      <c r="B321">
        <v>967</v>
      </c>
      <c r="C321">
        <v>29932</v>
      </c>
      <c r="D321" s="1">
        <v>39600</v>
      </c>
      <c r="E321">
        <v>6</v>
      </c>
      <c r="F321">
        <v>1430.442</v>
      </c>
      <c r="G321">
        <v>8582.652</v>
      </c>
    </row>
    <row r="322" spans="1:7" x14ac:dyDescent="0.55000000000000004">
      <c r="A322">
        <v>71898</v>
      </c>
      <c r="B322">
        <v>970</v>
      </c>
      <c r="C322">
        <v>29932</v>
      </c>
      <c r="D322" s="1">
        <v>39600</v>
      </c>
      <c r="E322">
        <v>3</v>
      </c>
      <c r="F322">
        <v>728.91</v>
      </c>
      <c r="G322">
        <v>2186.73</v>
      </c>
    </row>
    <row r="323" spans="1:7" x14ac:dyDescent="0.55000000000000004">
      <c r="A323">
        <v>71898</v>
      </c>
      <c r="B323">
        <v>956</v>
      </c>
      <c r="C323">
        <v>29932</v>
      </c>
      <c r="D323" s="1">
        <v>39600</v>
      </c>
      <c r="E323">
        <v>1</v>
      </c>
      <c r="F323">
        <v>1430.442</v>
      </c>
      <c r="G323">
        <v>1430.442</v>
      </c>
    </row>
    <row r="324" spans="1:7" x14ac:dyDescent="0.55000000000000004">
      <c r="A324">
        <v>71898</v>
      </c>
      <c r="B324">
        <v>960</v>
      </c>
      <c r="C324">
        <v>29932</v>
      </c>
      <c r="D324" s="1">
        <v>39600</v>
      </c>
      <c r="E324">
        <v>3</v>
      </c>
      <c r="F324">
        <v>445.41</v>
      </c>
      <c r="G324">
        <v>1336.23</v>
      </c>
    </row>
    <row r="325" spans="1:7" x14ac:dyDescent="0.55000000000000004">
      <c r="A325">
        <v>71898</v>
      </c>
      <c r="B325">
        <v>994</v>
      </c>
      <c r="C325">
        <v>29932</v>
      </c>
      <c r="D325" s="1">
        <v>39600</v>
      </c>
      <c r="E325">
        <v>3</v>
      </c>
      <c r="F325">
        <v>32.393999999999998</v>
      </c>
      <c r="G325">
        <v>97.182000000000002</v>
      </c>
    </row>
    <row r="326" spans="1:7" x14ac:dyDescent="0.55000000000000004">
      <c r="A326">
        <v>71898</v>
      </c>
      <c r="B326">
        <v>959</v>
      </c>
      <c r="C326">
        <v>29932</v>
      </c>
      <c r="D326" s="1">
        <v>39600</v>
      </c>
      <c r="E326">
        <v>1</v>
      </c>
      <c r="F326">
        <v>445.41</v>
      </c>
      <c r="G326">
        <v>445.41</v>
      </c>
    </row>
    <row r="327" spans="1:7" x14ac:dyDescent="0.55000000000000004">
      <c r="A327">
        <v>71898</v>
      </c>
      <c r="B327">
        <v>968</v>
      </c>
      <c r="C327">
        <v>29932</v>
      </c>
      <c r="D327" s="1">
        <v>39600</v>
      </c>
      <c r="E327">
        <v>4</v>
      </c>
      <c r="F327">
        <v>1430.442</v>
      </c>
      <c r="G327">
        <v>5721.768</v>
      </c>
    </row>
    <row r="328" spans="1:7" x14ac:dyDescent="0.55000000000000004">
      <c r="A328">
        <v>71898</v>
      </c>
      <c r="B328">
        <v>966</v>
      </c>
      <c r="C328">
        <v>29932</v>
      </c>
      <c r="D328" s="1">
        <v>39600</v>
      </c>
      <c r="E328">
        <v>3</v>
      </c>
      <c r="F328">
        <v>1430.442</v>
      </c>
      <c r="G328">
        <v>4291.326</v>
      </c>
    </row>
    <row r="329" spans="1:7" x14ac:dyDescent="0.55000000000000004">
      <c r="A329">
        <v>71898</v>
      </c>
      <c r="B329">
        <v>972</v>
      </c>
      <c r="C329">
        <v>29932</v>
      </c>
      <c r="D329" s="1">
        <v>39600</v>
      </c>
      <c r="E329">
        <v>5</v>
      </c>
      <c r="F329">
        <v>728.91</v>
      </c>
      <c r="G329">
        <v>3644.55</v>
      </c>
    </row>
    <row r="330" spans="1:7" x14ac:dyDescent="0.55000000000000004">
      <c r="A330">
        <v>71898</v>
      </c>
      <c r="B330">
        <v>949</v>
      </c>
      <c r="C330">
        <v>29932</v>
      </c>
      <c r="D330" s="1">
        <v>39600</v>
      </c>
      <c r="E330">
        <v>4</v>
      </c>
      <c r="F330">
        <v>105.294</v>
      </c>
      <c r="G330">
        <v>421.17599999999999</v>
      </c>
    </row>
    <row r="331" spans="1:7" x14ac:dyDescent="0.55000000000000004">
      <c r="A331">
        <v>71898</v>
      </c>
      <c r="B331">
        <v>958</v>
      </c>
      <c r="C331">
        <v>29932</v>
      </c>
      <c r="D331" s="1">
        <v>39600</v>
      </c>
      <c r="E331">
        <v>1</v>
      </c>
      <c r="F331">
        <v>445.41</v>
      </c>
      <c r="G331">
        <v>445.41</v>
      </c>
    </row>
    <row r="332" spans="1:7" x14ac:dyDescent="0.55000000000000004">
      <c r="A332">
        <v>71898</v>
      </c>
      <c r="B332">
        <v>945</v>
      </c>
      <c r="C332">
        <v>29932</v>
      </c>
      <c r="D332" s="1">
        <v>39600</v>
      </c>
      <c r="E332">
        <v>3</v>
      </c>
      <c r="F332">
        <v>54.893999999999998</v>
      </c>
      <c r="G332">
        <v>164.68199999999999</v>
      </c>
    </row>
    <row r="333" spans="1:7" x14ac:dyDescent="0.55000000000000004">
      <c r="A333">
        <v>71898</v>
      </c>
      <c r="B333">
        <v>971</v>
      </c>
      <c r="C333">
        <v>29932</v>
      </c>
      <c r="D333" s="1">
        <v>39600</v>
      </c>
      <c r="E333">
        <v>5</v>
      </c>
      <c r="F333">
        <v>728.91</v>
      </c>
      <c r="G333">
        <v>3644.55</v>
      </c>
    </row>
    <row r="334" spans="1:7" x14ac:dyDescent="0.55000000000000004">
      <c r="A334">
        <v>71898</v>
      </c>
      <c r="B334">
        <v>953</v>
      </c>
      <c r="C334">
        <v>29932</v>
      </c>
      <c r="D334" s="1">
        <v>39600</v>
      </c>
      <c r="E334">
        <v>2</v>
      </c>
      <c r="F334">
        <v>728.91</v>
      </c>
      <c r="G334">
        <v>1457.82</v>
      </c>
    </row>
    <row r="335" spans="1:7" x14ac:dyDescent="0.55000000000000004">
      <c r="A335">
        <v>71898</v>
      </c>
      <c r="B335">
        <v>889</v>
      </c>
      <c r="C335">
        <v>29932</v>
      </c>
      <c r="D335" s="1">
        <v>39600</v>
      </c>
      <c r="E335">
        <v>1</v>
      </c>
      <c r="F335">
        <v>602.346</v>
      </c>
      <c r="G335">
        <v>602.346</v>
      </c>
    </row>
    <row r="336" spans="1:7" x14ac:dyDescent="0.55000000000000004">
      <c r="A336">
        <v>71898</v>
      </c>
      <c r="B336">
        <v>955</v>
      </c>
      <c r="C336">
        <v>29932</v>
      </c>
      <c r="D336" s="1">
        <v>39600</v>
      </c>
      <c r="E336">
        <v>1</v>
      </c>
      <c r="F336">
        <v>1430.442</v>
      </c>
      <c r="G336">
        <v>1430.442</v>
      </c>
    </row>
    <row r="337" spans="1:7" x14ac:dyDescent="0.55000000000000004">
      <c r="A337">
        <v>71898</v>
      </c>
      <c r="B337">
        <v>964</v>
      </c>
      <c r="C337">
        <v>29932</v>
      </c>
      <c r="D337" s="1">
        <v>39600</v>
      </c>
      <c r="E337">
        <v>3</v>
      </c>
      <c r="F337">
        <v>445.41</v>
      </c>
      <c r="G337">
        <v>1336.23</v>
      </c>
    </row>
    <row r="338" spans="1:7" x14ac:dyDescent="0.55000000000000004">
      <c r="A338">
        <v>71898</v>
      </c>
      <c r="B338">
        <v>916</v>
      </c>
      <c r="C338">
        <v>29932</v>
      </c>
      <c r="D338" s="1">
        <v>39600</v>
      </c>
      <c r="E338">
        <v>3</v>
      </c>
      <c r="F338">
        <v>31.584</v>
      </c>
      <c r="G338">
        <v>94.751999999999995</v>
      </c>
    </row>
    <row r="339" spans="1:7" x14ac:dyDescent="0.55000000000000004">
      <c r="A339">
        <v>71898</v>
      </c>
      <c r="B339">
        <v>948</v>
      </c>
      <c r="C339">
        <v>29932</v>
      </c>
      <c r="D339" s="1">
        <v>39600</v>
      </c>
      <c r="E339">
        <v>1</v>
      </c>
      <c r="F339">
        <v>63.9</v>
      </c>
      <c r="G339">
        <v>63.9</v>
      </c>
    </row>
    <row r="340" spans="1:7" x14ac:dyDescent="0.55000000000000004">
      <c r="A340">
        <v>71898</v>
      </c>
      <c r="B340">
        <v>979</v>
      </c>
      <c r="C340">
        <v>29932</v>
      </c>
      <c r="D340" s="1">
        <v>39600</v>
      </c>
      <c r="E340">
        <v>3</v>
      </c>
      <c r="F340">
        <v>445.41</v>
      </c>
      <c r="G340">
        <v>1336.23</v>
      </c>
    </row>
    <row r="341" spans="1:7" x14ac:dyDescent="0.55000000000000004">
      <c r="A341">
        <v>71898</v>
      </c>
      <c r="B341">
        <v>951</v>
      </c>
      <c r="C341">
        <v>29932</v>
      </c>
      <c r="D341" s="1">
        <v>39600</v>
      </c>
      <c r="E341">
        <v>3</v>
      </c>
      <c r="F341">
        <v>242.994</v>
      </c>
      <c r="G341">
        <v>728.98199999999997</v>
      </c>
    </row>
    <row r="342" spans="1:7" x14ac:dyDescent="0.55000000000000004">
      <c r="A342">
        <v>71898</v>
      </c>
      <c r="B342">
        <v>954</v>
      </c>
      <c r="C342">
        <v>29932</v>
      </c>
      <c r="D342" s="1">
        <v>39600</v>
      </c>
      <c r="E342">
        <v>3</v>
      </c>
      <c r="F342">
        <v>1430.442</v>
      </c>
      <c r="G342">
        <v>4291.326</v>
      </c>
    </row>
    <row r="343" spans="1:7" x14ac:dyDescent="0.55000000000000004">
      <c r="A343">
        <v>71898</v>
      </c>
      <c r="B343">
        <v>952</v>
      </c>
      <c r="C343">
        <v>29932</v>
      </c>
      <c r="D343" s="1">
        <v>39600</v>
      </c>
      <c r="E343">
        <v>1</v>
      </c>
      <c r="F343">
        <v>12.144</v>
      </c>
      <c r="G343">
        <v>12.144</v>
      </c>
    </row>
    <row r="344" spans="1:7" x14ac:dyDescent="0.55000000000000004">
      <c r="A344">
        <v>71898</v>
      </c>
      <c r="B344">
        <v>965</v>
      </c>
      <c r="C344">
        <v>29932</v>
      </c>
      <c r="D344" s="1">
        <v>39600</v>
      </c>
      <c r="E344">
        <v>5</v>
      </c>
      <c r="F344">
        <v>445.41</v>
      </c>
      <c r="G344">
        <v>2227.0500000000002</v>
      </c>
    </row>
    <row r="345" spans="1:7" x14ac:dyDescent="0.55000000000000004">
      <c r="A345">
        <v>71898</v>
      </c>
      <c r="B345">
        <v>961</v>
      </c>
      <c r="C345">
        <v>29932</v>
      </c>
      <c r="D345" s="1">
        <v>39600</v>
      </c>
      <c r="E345">
        <v>2</v>
      </c>
      <c r="F345">
        <v>445.41</v>
      </c>
      <c r="G345">
        <v>890.82</v>
      </c>
    </row>
    <row r="346" spans="1:7" x14ac:dyDescent="0.55000000000000004">
      <c r="A346">
        <v>71899</v>
      </c>
      <c r="B346">
        <v>881</v>
      </c>
      <c r="C346">
        <v>29568</v>
      </c>
      <c r="D346" s="1">
        <v>39600</v>
      </c>
      <c r="E346">
        <v>2</v>
      </c>
      <c r="F346">
        <v>32.393999999999998</v>
      </c>
      <c r="G346">
        <v>64.787999999999997</v>
      </c>
    </row>
    <row r="347" spans="1:7" x14ac:dyDescent="0.55000000000000004">
      <c r="A347">
        <v>71899</v>
      </c>
      <c r="B347">
        <v>981</v>
      </c>
      <c r="C347">
        <v>29568</v>
      </c>
      <c r="D347" s="1">
        <v>39600</v>
      </c>
      <c r="E347">
        <v>1</v>
      </c>
      <c r="F347">
        <v>461.69400000000002</v>
      </c>
      <c r="G347">
        <v>461.69400000000002</v>
      </c>
    </row>
    <row r="348" spans="1:7" x14ac:dyDescent="0.55000000000000004">
      <c r="A348">
        <v>71899</v>
      </c>
      <c r="B348">
        <v>743</v>
      </c>
      <c r="C348">
        <v>29568</v>
      </c>
      <c r="D348" s="1">
        <v>39600</v>
      </c>
      <c r="E348">
        <v>1</v>
      </c>
      <c r="F348">
        <v>809.76</v>
      </c>
      <c r="G348">
        <v>809.76</v>
      </c>
    </row>
    <row r="349" spans="1:7" x14ac:dyDescent="0.55000000000000004">
      <c r="A349">
        <v>71899</v>
      </c>
      <c r="B349">
        <v>808</v>
      </c>
      <c r="C349">
        <v>29568</v>
      </c>
      <c r="D349" s="1">
        <v>39600</v>
      </c>
      <c r="E349">
        <v>1</v>
      </c>
      <c r="F349">
        <v>26.724</v>
      </c>
      <c r="G349">
        <v>26.724</v>
      </c>
    </row>
    <row r="350" spans="1:7" x14ac:dyDescent="0.55000000000000004">
      <c r="A350">
        <v>71899</v>
      </c>
      <c r="B350">
        <v>714</v>
      </c>
      <c r="C350">
        <v>29568</v>
      </c>
      <c r="D350" s="1">
        <v>39600</v>
      </c>
      <c r="E350">
        <v>2</v>
      </c>
      <c r="F350">
        <v>29.994</v>
      </c>
      <c r="G350">
        <v>59.988</v>
      </c>
    </row>
    <row r="351" spans="1:7" x14ac:dyDescent="0.55000000000000004">
      <c r="A351">
        <v>71899</v>
      </c>
      <c r="B351">
        <v>944</v>
      </c>
      <c r="C351">
        <v>29568</v>
      </c>
      <c r="D351" s="1">
        <v>39600</v>
      </c>
      <c r="E351">
        <v>2</v>
      </c>
      <c r="F351">
        <v>158.43</v>
      </c>
      <c r="G351">
        <v>316.86</v>
      </c>
    </row>
    <row r="352" spans="1:7" x14ac:dyDescent="0.55000000000000004">
      <c r="A352">
        <v>71899</v>
      </c>
      <c r="B352">
        <v>937</v>
      </c>
      <c r="C352">
        <v>29568</v>
      </c>
      <c r="D352" s="1">
        <v>39600</v>
      </c>
      <c r="E352">
        <v>1</v>
      </c>
      <c r="F352">
        <v>48.594000000000001</v>
      </c>
      <c r="G352">
        <v>48.594000000000001</v>
      </c>
    </row>
    <row r="353" spans="1:7" x14ac:dyDescent="0.55000000000000004">
      <c r="A353">
        <v>71902</v>
      </c>
      <c r="B353">
        <v>780</v>
      </c>
      <c r="C353">
        <v>29929</v>
      </c>
      <c r="D353" s="1">
        <v>39600</v>
      </c>
      <c r="E353">
        <v>5</v>
      </c>
      <c r="F353">
        <v>1391.9939999999999</v>
      </c>
      <c r="G353">
        <v>6959.97</v>
      </c>
    </row>
    <row r="354" spans="1:7" x14ac:dyDescent="0.55000000000000004">
      <c r="A354">
        <v>71902</v>
      </c>
      <c r="B354">
        <v>981</v>
      </c>
      <c r="C354">
        <v>29929</v>
      </c>
      <c r="D354" s="1">
        <v>39600</v>
      </c>
      <c r="E354">
        <v>2</v>
      </c>
      <c r="F354">
        <v>461.69400000000002</v>
      </c>
      <c r="G354">
        <v>923.38800000000003</v>
      </c>
    </row>
    <row r="355" spans="1:7" x14ac:dyDescent="0.55000000000000004">
      <c r="A355">
        <v>71902</v>
      </c>
      <c r="B355">
        <v>904</v>
      </c>
      <c r="C355">
        <v>29929</v>
      </c>
      <c r="D355" s="1">
        <v>39600</v>
      </c>
      <c r="E355">
        <v>1</v>
      </c>
      <c r="F355">
        <v>218.45400000000001</v>
      </c>
      <c r="G355">
        <v>218.45400000000001</v>
      </c>
    </row>
    <row r="356" spans="1:7" x14ac:dyDescent="0.55000000000000004">
      <c r="A356">
        <v>71902</v>
      </c>
      <c r="B356">
        <v>783</v>
      </c>
      <c r="C356">
        <v>29929</v>
      </c>
      <c r="D356" s="1">
        <v>39600</v>
      </c>
      <c r="E356">
        <v>7</v>
      </c>
      <c r="F356">
        <v>1376.9939999999999</v>
      </c>
      <c r="G356">
        <v>9638.9580000000005</v>
      </c>
    </row>
    <row r="357" spans="1:7" x14ac:dyDescent="0.55000000000000004">
      <c r="A357">
        <v>71902</v>
      </c>
      <c r="B357">
        <v>781</v>
      </c>
      <c r="C357">
        <v>29929</v>
      </c>
      <c r="D357" s="1">
        <v>39600</v>
      </c>
      <c r="E357">
        <v>5</v>
      </c>
      <c r="F357">
        <v>1391.9939999999999</v>
      </c>
      <c r="G357">
        <v>6959.97</v>
      </c>
    </row>
    <row r="358" spans="1:7" x14ac:dyDescent="0.55000000000000004">
      <c r="A358">
        <v>71902</v>
      </c>
      <c r="B358">
        <v>859</v>
      </c>
      <c r="C358">
        <v>29929</v>
      </c>
      <c r="D358" s="1">
        <v>39600</v>
      </c>
      <c r="E358">
        <v>2</v>
      </c>
      <c r="F358">
        <v>14.694000000000001</v>
      </c>
      <c r="G358">
        <v>29.388000000000002</v>
      </c>
    </row>
    <row r="359" spans="1:7" x14ac:dyDescent="0.55000000000000004">
      <c r="A359">
        <v>71902</v>
      </c>
      <c r="B359">
        <v>869</v>
      </c>
      <c r="C359">
        <v>29929</v>
      </c>
      <c r="D359" s="1">
        <v>39600</v>
      </c>
      <c r="E359">
        <v>7</v>
      </c>
      <c r="F359">
        <v>41.994</v>
      </c>
      <c r="G359">
        <v>293.95800000000003</v>
      </c>
    </row>
    <row r="360" spans="1:7" x14ac:dyDescent="0.55000000000000004">
      <c r="A360">
        <v>71902</v>
      </c>
      <c r="B360">
        <v>908</v>
      </c>
      <c r="C360">
        <v>29929</v>
      </c>
      <c r="D360" s="1">
        <v>39600</v>
      </c>
      <c r="E360">
        <v>2</v>
      </c>
      <c r="F360">
        <v>16.271999999999998</v>
      </c>
      <c r="G360">
        <v>32.543999999999997</v>
      </c>
    </row>
    <row r="361" spans="1:7" x14ac:dyDescent="0.55000000000000004">
      <c r="A361">
        <v>71902</v>
      </c>
      <c r="B361">
        <v>712</v>
      </c>
      <c r="C361">
        <v>29929</v>
      </c>
      <c r="D361" s="1">
        <v>39600</v>
      </c>
      <c r="E361">
        <v>3</v>
      </c>
      <c r="F361">
        <v>5.3940000000000001</v>
      </c>
      <c r="G361">
        <v>16.181999999999999</v>
      </c>
    </row>
    <row r="362" spans="1:7" x14ac:dyDescent="0.55000000000000004">
      <c r="A362">
        <v>71902</v>
      </c>
      <c r="B362">
        <v>925</v>
      </c>
      <c r="C362">
        <v>29929</v>
      </c>
      <c r="D362" s="1">
        <v>39600</v>
      </c>
      <c r="E362">
        <v>1</v>
      </c>
      <c r="F362">
        <v>149.874</v>
      </c>
      <c r="G362">
        <v>149.874</v>
      </c>
    </row>
    <row r="363" spans="1:7" x14ac:dyDescent="0.55000000000000004">
      <c r="A363">
        <v>71902</v>
      </c>
      <c r="B363">
        <v>937</v>
      </c>
      <c r="C363">
        <v>29929</v>
      </c>
      <c r="D363" s="1">
        <v>39600</v>
      </c>
      <c r="E363">
        <v>2</v>
      </c>
      <c r="F363">
        <v>48.594000000000001</v>
      </c>
      <c r="G363">
        <v>97.188000000000002</v>
      </c>
    </row>
    <row r="364" spans="1:7" x14ac:dyDescent="0.55000000000000004">
      <c r="A364">
        <v>71902</v>
      </c>
      <c r="B364">
        <v>992</v>
      </c>
      <c r="C364">
        <v>29929</v>
      </c>
      <c r="D364" s="1">
        <v>39600</v>
      </c>
      <c r="E364">
        <v>3</v>
      </c>
      <c r="F364">
        <v>323.99400000000003</v>
      </c>
      <c r="G364">
        <v>971.98199999999997</v>
      </c>
    </row>
    <row r="365" spans="1:7" x14ac:dyDescent="0.55000000000000004">
      <c r="A365">
        <v>71902</v>
      </c>
      <c r="B365">
        <v>980</v>
      </c>
      <c r="C365">
        <v>29929</v>
      </c>
      <c r="D365" s="1">
        <v>39600</v>
      </c>
      <c r="E365">
        <v>3</v>
      </c>
      <c r="F365">
        <v>461.69400000000002</v>
      </c>
      <c r="G365">
        <v>1385.0820000000001</v>
      </c>
    </row>
    <row r="366" spans="1:7" x14ac:dyDescent="0.55000000000000004">
      <c r="A366">
        <v>71902</v>
      </c>
      <c r="B366">
        <v>715</v>
      </c>
      <c r="C366">
        <v>29929</v>
      </c>
      <c r="D366" s="1">
        <v>39600</v>
      </c>
      <c r="E366">
        <v>3</v>
      </c>
      <c r="F366">
        <v>29.994</v>
      </c>
      <c r="G366">
        <v>89.981999999999999</v>
      </c>
    </row>
    <row r="367" spans="1:7" x14ac:dyDescent="0.55000000000000004">
      <c r="A367">
        <v>71902</v>
      </c>
      <c r="B367">
        <v>935</v>
      </c>
      <c r="C367">
        <v>29929</v>
      </c>
      <c r="D367" s="1">
        <v>39600</v>
      </c>
      <c r="E367">
        <v>4</v>
      </c>
      <c r="F367">
        <v>24.294</v>
      </c>
      <c r="G367">
        <v>97.176000000000002</v>
      </c>
    </row>
    <row r="368" spans="1:7" x14ac:dyDescent="0.55000000000000004">
      <c r="A368">
        <v>71902</v>
      </c>
      <c r="B368">
        <v>989</v>
      </c>
      <c r="C368">
        <v>29929</v>
      </c>
      <c r="D368" s="1">
        <v>39600</v>
      </c>
      <c r="E368">
        <v>1</v>
      </c>
      <c r="F368">
        <v>323.99400000000003</v>
      </c>
      <c r="G368">
        <v>323.99400000000003</v>
      </c>
    </row>
    <row r="369" spans="1:7" x14ac:dyDescent="0.55000000000000004">
      <c r="A369">
        <v>71902</v>
      </c>
      <c r="B369">
        <v>982</v>
      </c>
      <c r="C369">
        <v>29929</v>
      </c>
      <c r="D369" s="1">
        <v>39600</v>
      </c>
      <c r="E369">
        <v>2</v>
      </c>
      <c r="F369">
        <v>461.69400000000002</v>
      </c>
      <c r="G369">
        <v>923.38800000000003</v>
      </c>
    </row>
    <row r="370" spans="1:7" x14ac:dyDescent="0.55000000000000004">
      <c r="A370">
        <v>71902</v>
      </c>
      <c r="B370">
        <v>782</v>
      </c>
      <c r="C370">
        <v>29929</v>
      </c>
      <c r="D370" s="1">
        <v>39600</v>
      </c>
      <c r="E370">
        <v>8</v>
      </c>
      <c r="F370">
        <v>1376.9939999999999</v>
      </c>
      <c r="G370">
        <v>11015.951999999999</v>
      </c>
    </row>
    <row r="371" spans="1:7" x14ac:dyDescent="0.55000000000000004">
      <c r="A371">
        <v>71902</v>
      </c>
      <c r="B371">
        <v>784</v>
      </c>
      <c r="C371">
        <v>29929</v>
      </c>
      <c r="D371" s="1">
        <v>39600</v>
      </c>
      <c r="E371">
        <v>2</v>
      </c>
      <c r="F371">
        <v>1376.9939999999999</v>
      </c>
      <c r="G371">
        <v>2753.9879999999998</v>
      </c>
    </row>
    <row r="372" spans="1:7" x14ac:dyDescent="0.55000000000000004">
      <c r="A372">
        <v>71902</v>
      </c>
      <c r="B372">
        <v>810</v>
      </c>
      <c r="C372">
        <v>29929</v>
      </c>
      <c r="D372" s="1">
        <v>39600</v>
      </c>
      <c r="E372">
        <v>1</v>
      </c>
      <c r="F372">
        <v>72.162000000000006</v>
      </c>
      <c r="G372">
        <v>72.162000000000006</v>
      </c>
    </row>
    <row r="373" spans="1:7" x14ac:dyDescent="0.55000000000000004">
      <c r="A373">
        <v>71902</v>
      </c>
      <c r="B373">
        <v>926</v>
      </c>
      <c r="C373">
        <v>29929</v>
      </c>
      <c r="D373" s="1">
        <v>39600</v>
      </c>
      <c r="E373">
        <v>1</v>
      </c>
      <c r="F373">
        <v>149.874</v>
      </c>
      <c r="G373">
        <v>149.874</v>
      </c>
    </row>
    <row r="374" spans="1:7" x14ac:dyDescent="0.55000000000000004">
      <c r="A374">
        <v>71902</v>
      </c>
      <c r="B374">
        <v>714</v>
      </c>
      <c r="C374">
        <v>29929</v>
      </c>
      <c r="D374" s="1">
        <v>39600</v>
      </c>
      <c r="E374">
        <v>3</v>
      </c>
      <c r="F374">
        <v>29.994</v>
      </c>
      <c r="G374">
        <v>89.981999999999999</v>
      </c>
    </row>
    <row r="375" spans="1:7" x14ac:dyDescent="0.55000000000000004">
      <c r="A375">
        <v>71902</v>
      </c>
      <c r="B375">
        <v>870</v>
      </c>
      <c r="C375">
        <v>29929</v>
      </c>
      <c r="D375" s="1">
        <v>39600</v>
      </c>
      <c r="E375">
        <v>7</v>
      </c>
      <c r="F375">
        <v>2.9940000000000002</v>
      </c>
      <c r="G375">
        <v>20.957999999999998</v>
      </c>
    </row>
    <row r="376" spans="1:7" x14ac:dyDescent="0.55000000000000004">
      <c r="A376">
        <v>71902</v>
      </c>
      <c r="B376">
        <v>876</v>
      </c>
      <c r="C376">
        <v>29929</v>
      </c>
      <c r="D376" s="1">
        <v>39600</v>
      </c>
      <c r="E376">
        <v>4</v>
      </c>
      <c r="F376">
        <v>72</v>
      </c>
      <c r="G376">
        <v>288</v>
      </c>
    </row>
    <row r="377" spans="1:7" x14ac:dyDescent="0.55000000000000004">
      <c r="A377">
        <v>71902</v>
      </c>
      <c r="B377">
        <v>877</v>
      </c>
      <c r="C377">
        <v>29929</v>
      </c>
      <c r="D377" s="1">
        <v>39600</v>
      </c>
      <c r="E377">
        <v>5</v>
      </c>
      <c r="F377">
        <v>4.7699999999999996</v>
      </c>
      <c r="G377">
        <v>23.85</v>
      </c>
    </row>
    <row r="378" spans="1:7" x14ac:dyDescent="0.55000000000000004">
      <c r="A378">
        <v>71902</v>
      </c>
      <c r="B378">
        <v>707</v>
      </c>
      <c r="C378">
        <v>29929</v>
      </c>
      <c r="D378" s="1">
        <v>39600</v>
      </c>
      <c r="E378">
        <v>2</v>
      </c>
      <c r="F378">
        <v>20.994</v>
      </c>
      <c r="G378">
        <v>41.988</v>
      </c>
    </row>
    <row r="379" spans="1:7" x14ac:dyDescent="0.55000000000000004">
      <c r="A379">
        <v>71902</v>
      </c>
      <c r="B379">
        <v>993</v>
      </c>
      <c r="C379">
        <v>29929</v>
      </c>
      <c r="D379" s="1">
        <v>39600</v>
      </c>
      <c r="E379">
        <v>1</v>
      </c>
      <c r="F379">
        <v>323.99400000000003</v>
      </c>
      <c r="G379">
        <v>323.99400000000003</v>
      </c>
    </row>
    <row r="380" spans="1:7" x14ac:dyDescent="0.55000000000000004">
      <c r="A380">
        <v>71902</v>
      </c>
      <c r="B380">
        <v>864</v>
      </c>
      <c r="C380">
        <v>29929</v>
      </c>
      <c r="D380" s="1">
        <v>39600</v>
      </c>
      <c r="E380">
        <v>6</v>
      </c>
      <c r="F380">
        <v>38.1</v>
      </c>
      <c r="G380">
        <v>228.6</v>
      </c>
    </row>
    <row r="381" spans="1:7" x14ac:dyDescent="0.55000000000000004">
      <c r="A381">
        <v>71902</v>
      </c>
      <c r="B381">
        <v>867</v>
      </c>
      <c r="C381">
        <v>29929</v>
      </c>
      <c r="D381" s="1">
        <v>39600</v>
      </c>
      <c r="E381">
        <v>7</v>
      </c>
      <c r="F381">
        <v>41.994</v>
      </c>
      <c r="G381">
        <v>293.95800000000003</v>
      </c>
    </row>
    <row r="382" spans="1:7" x14ac:dyDescent="0.55000000000000004">
      <c r="A382">
        <v>71902</v>
      </c>
      <c r="B382">
        <v>809</v>
      </c>
      <c r="C382">
        <v>29929</v>
      </c>
      <c r="D382" s="1">
        <v>39600</v>
      </c>
      <c r="E382">
        <v>2</v>
      </c>
      <c r="F382">
        <v>37.152000000000001</v>
      </c>
      <c r="G382">
        <v>74.304000000000002</v>
      </c>
    </row>
    <row r="383" spans="1:7" x14ac:dyDescent="0.55000000000000004">
      <c r="A383">
        <v>71902</v>
      </c>
      <c r="B383">
        <v>880</v>
      </c>
      <c r="C383">
        <v>29929</v>
      </c>
      <c r="D383" s="1">
        <v>39600</v>
      </c>
      <c r="E383">
        <v>5</v>
      </c>
      <c r="F383">
        <v>32.994</v>
      </c>
      <c r="G383">
        <v>164.97</v>
      </c>
    </row>
    <row r="384" spans="1:7" x14ac:dyDescent="0.55000000000000004">
      <c r="A384">
        <v>71902</v>
      </c>
      <c r="B384">
        <v>936</v>
      </c>
      <c r="C384">
        <v>29929</v>
      </c>
      <c r="D384" s="1">
        <v>39600</v>
      </c>
      <c r="E384">
        <v>1</v>
      </c>
      <c r="F384">
        <v>37.253999999999998</v>
      </c>
      <c r="G384">
        <v>37.253999999999998</v>
      </c>
    </row>
    <row r="385" spans="1:7" x14ac:dyDescent="0.55000000000000004">
      <c r="A385">
        <v>71902</v>
      </c>
      <c r="B385">
        <v>708</v>
      </c>
      <c r="C385">
        <v>29929</v>
      </c>
      <c r="D385" s="1">
        <v>39600</v>
      </c>
      <c r="E385">
        <v>4</v>
      </c>
      <c r="F385">
        <v>20.994</v>
      </c>
      <c r="G385">
        <v>83.975999999999999</v>
      </c>
    </row>
    <row r="386" spans="1:7" x14ac:dyDescent="0.55000000000000004">
      <c r="A386">
        <v>71902</v>
      </c>
      <c r="B386">
        <v>779</v>
      </c>
      <c r="C386">
        <v>29929</v>
      </c>
      <c r="D386" s="1">
        <v>39600</v>
      </c>
      <c r="E386">
        <v>3</v>
      </c>
      <c r="F386">
        <v>1391.9939999999999</v>
      </c>
      <c r="G386">
        <v>4175.982</v>
      </c>
    </row>
    <row r="387" spans="1:7" x14ac:dyDescent="0.55000000000000004">
      <c r="A387">
        <v>71902</v>
      </c>
      <c r="B387">
        <v>991</v>
      </c>
      <c r="C387">
        <v>29929</v>
      </c>
      <c r="D387" s="1">
        <v>39600</v>
      </c>
      <c r="E387">
        <v>2</v>
      </c>
      <c r="F387">
        <v>323.99400000000003</v>
      </c>
      <c r="G387">
        <v>647.98800000000006</v>
      </c>
    </row>
    <row r="388" spans="1:7" x14ac:dyDescent="0.55000000000000004">
      <c r="A388">
        <v>71902</v>
      </c>
      <c r="B388">
        <v>883</v>
      </c>
      <c r="C388">
        <v>29929</v>
      </c>
      <c r="D388" s="1">
        <v>39600</v>
      </c>
      <c r="E388">
        <v>5</v>
      </c>
      <c r="F388">
        <v>32.393999999999998</v>
      </c>
      <c r="G388">
        <v>161.97</v>
      </c>
    </row>
    <row r="389" spans="1:7" x14ac:dyDescent="0.55000000000000004">
      <c r="A389">
        <v>71902</v>
      </c>
      <c r="B389">
        <v>910</v>
      </c>
      <c r="C389">
        <v>29929</v>
      </c>
      <c r="D389" s="1">
        <v>39600</v>
      </c>
      <c r="E389">
        <v>1</v>
      </c>
      <c r="F389">
        <v>31.584</v>
      </c>
      <c r="G389">
        <v>31.584</v>
      </c>
    </row>
    <row r="390" spans="1:7" x14ac:dyDescent="0.55000000000000004">
      <c r="A390">
        <v>71902</v>
      </c>
      <c r="B390">
        <v>881</v>
      </c>
      <c r="C390">
        <v>29929</v>
      </c>
      <c r="D390" s="1">
        <v>39600</v>
      </c>
      <c r="E390">
        <v>2</v>
      </c>
      <c r="F390">
        <v>32.393999999999998</v>
      </c>
      <c r="G390">
        <v>64.787999999999997</v>
      </c>
    </row>
    <row r="391" spans="1:7" x14ac:dyDescent="0.55000000000000004">
      <c r="A391">
        <v>71902</v>
      </c>
      <c r="B391">
        <v>711</v>
      </c>
      <c r="C391">
        <v>29929</v>
      </c>
      <c r="D391" s="1">
        <v>39600</v>
      </c>
      <c r="E391">
        <v>7</v>
      </c>
      <c r="F391">
        <v>20.994</v>
      </c>
      <c r="G391">
        <v>146.958</v>
      </c>
    </row>
    <row r="392" spans="1:7" x14ac:dyDescent="0.55000000000000004">
      <c r="A392">
        <v>71902</v>
      </c>
      <c r="B392">
        <v>748</v>
      </c>
      <c r="C392">
        <v>29929</v>
      </c>
      <c r="D392" s="1">
        <v>39600</v>
      </c>
      <c r="E392">
        <v>7</v>
      </c>
      <c r="F392">
        <v>818.7</v>
      </c>
      <c r="G392">
        <v>5730.9</v>
      </c>
    </row>
    <row r="393" spans="1:7" x14ac:dyDescent="0.55000000000000004">
      <c r="A393">
        <v>71902</v>
      </c>
      <c r="B393">
        <v>884</v>
      </c>
      <c r="C393">
        <v>29929</v>
      </c>
      <c r="D393" s="1">
        <v>39600</v>
      </c>
      <c r="E393">
        <v>5</v>
      </c>
      <c r="F393">
        <v>32.393999999999998</v>
      </c>
      <c r="G393">
        <v>161.97</v>
      </c>
    </row>
    <row r="394" spans="1:7" x14ac:dyDescent="0.55000000000000004">
      <c r="A394">
        <v>71902</v>
      </c>
      <c r="B394">
        <v>918</v>
      </c>
      <c r="C394">
        <v>29929</v>
      </c>
      <c r="D394" s="1">
        <v>39600</v>
      </c>
      <c r="E394">
        <v>2</v>
      </c>
      <c r="F394">
        <v>158.43</v>
      </c>
      <c r="G394">
        <v>316.86</v>
      </c>
    </row>
    <row r="395" spans="1:7" x14ac:dyDescent="0.55000000000000004">
      <c r="A395">
        <v>71902</v>
      </c>
      <c r="B395">
        <v>905</v>
      </c>
      <c r="C395">
        <v>29929</v>
      </c>
      <c r="D395" s="1">
        <v>39600</v>
      </c>
      <c r="E395">
        <v>3</v>
      </c>
      <c r="F395">
        <v>218.45400000000001</v>
      </c>
      <c r="G395">
        <v>655.36199999999997</v>
      </c>
    </row>
    <row r="396" spans="1:7" x14ac:dyDescent="0.55000000000000004">
      <c r="A396">
        <v>71902</v>
      </c>
      <c r="B396">
        <v>983</v>
      </c>
      <c r="C396">
        <v>29929</v>
      </c>
      <c r="D396" s="1">
        <v>39600</v>
      </c>
      <c r="E396">
        <v>4</v>
      </c>
      <c r="F396">
        <v>461.69400000000002</v>
      </c>
      <c r="G396">
        <v>1846.7760000000001</v>
      </c>
    </row>
    <row r="397" spans="1:7" x14ac:dyDescent="0.55000000000000004">
      <c r="A397">
        <v>71902</v>
      </c>
      <c r="B397">
        <v>865</v>
      </c>
      <c r="C397">
        <v>29929</v>
      </c>
      <c r="D397" s="1">
        <v>39600</v>
      </c>
      <c r="E397">
        <v>6</v>
      </c>
      <c r="F397">
        <v>38.1</v>
      </c>
      <c r="G397">
        <v>228.6</v>
      </c>
    </row>
    <row r="398" spans="1:7" x14ac:dyDescent="0.55000000000000004">
      <c r="A398">
        <v>71915</v>
      </c>
      <c r="B398">
        <v>836</v>
      </c>
      <c r="C398">
        <v>29638</v>
      </c>
      <c r="D398" s="1">
        <v>39600</v>
      </c>
      <c r="E398">
        <v>3</v>
      </c>
      <c r="F398">
        <v>356.89800000000002</v>
      </c>
      <c r="G398">
        <v>1070.694</v>
      </c>
    </row>
    <row r="399" spans="1:7" x14ac:dyDescent="0.55000000000000004">
      <c r="A399">
        <v>71915</v>
      </c>
      <c r="B399">
        <v>738</v>
      </c>
      <c r="C399">
        <v>29638</v>
      </c>
      <c r="D399" s="1">
        <v>39600</v>
      </c>
      <c r="E399">
        <v>2</v>
      </c>
      <c r="F399">
        <v>202.33199999999999</v>
      </c>
      <c r="G399">
        <v>404.66399999999999</v>
      </c>
    </row>
    <row r="400" spans="1:7" x14ac:dyDescent="0.55000000000000004">
      <c r="A400">
        <v>71915</v>
      </c>
      <c r="B400">
        <v>938</v>
      </c>
      <c r="C400">
        <v>29638</v>
      </c>
      <c r="D400" s="1">
        <v>39600</v>
      </c>
      <c r="E400">
        <v>4</v>
      </c>
      <c r="F400">
        <v>24.294</v>
      </c>
      <c r="G400">
        <v>97.176000000000002</v>
      </c>
    </row>
    <row r="401" spans="1:7" x14ac:dyDescent="0.55000000000000004">
      <c r="A401">
        <v>71915</v>
      </c>
      <c r="B401">
        <v>939</v>
      </c>
      <c r="C401">
        <v>29638</v>
      </c>
      <c r="D401" s="1">
        <v>39600</v>
      </c>
      <c r="E401">
        <v>3</v>
      </c>
      <c r="F401">
        <v>37.253999999999998</v>
      </c>
      <c r="G401">
        <v>111.762</v>
      </c>
    </row>
    <row r="402" spans="1:7" x14ac:dyDescent="0.55000000000000004">
      <c r="A402">
        <v>71915</v>
      </c>
      <c r="B402">
        <v>940</v>
      </c>
      <c r="C402">
        <v>29638</v>
      </c>
      <c r="D402" s="1">
        <v>39600</v>
      </c>
      <c r="E402">
        <v>1</v>
      </c>
      <c r="F402">
        <v>48.594000000000001</v>
      </c>
      <c r="G402">
        <v>48.594000000000001</v>
      </c>
    </row>
    <row r="403" spans="1:7" x14ac:dyDescent="0.55000000000000004">
      <c r="A403">
        <v>71917</v>
      </c>
      <c r="B403">
        <v>875</v>
      </c>
      <c r="C403">
        <v>30025</v>
      </c>
      <c r="D403" s="1">
        <v>39600</v>
      </c>
      <c r="E403">
        <v>7</v>
      </c>
      <c r="F403">
        <v>5.3940000000000001</v>
      </c>
      <c r="G403">
        <v>37.758000000000003</v>
      </c>
    </row>
    <row r="404" spans="1:7" x14ac:dyDescent="0.55000000000000004">
      <c r="A404">
        <v>71920</v>
      </c>
      <c r="B404">
        <v>973</v>
      </c>
      <c r="C404">
        <v>29982</v>
      </c>
      <c r="D404" s="1">
        <v>39600</v>
      </c>
      <c r="E404">
        <v>1</v>
      </c>
      <c r="F404">
        <v>1020.5940000000001</v>
      </c>
      <c r="G404">
        <v>1020.5940000000001</v>
      </c>
    </row>
    <row r="405" spans="1:7" x14ac:dyDescent="0.55000000000000004">
      <c r="A405">
        <v>71920</v>
      </c>
      <c r="B405">
        <v>938</v>
      </c>
      <c r="C405">
        <v>29982</v>
      </c>
      <c r="D405" s="1">
        <v>39600</v>
      </c>
      <c r="E405">
        <v>3</v>
      </c>
      <c r="F405">
        <v>24.294</v>
      </c>
      <c r="G405">
        <v>72.882000000000005</v>
      </c>
    </row>
    <row r="406" spans="1:7" x14ac:dyDescent="0.55000000000000004">
      <c r="A406">
        <v>71920</v>
      </c>
      <c r="B406">
        <v>976</v>
      </c>
      <c r="C406">
        <v>29982</v>
      </c>
      <c r="D406" s="1">
        <v>39600</v>
      </c>
      <c r="E406">
        <v>1</v>
      </c>
      <c r="F406">
        <v>1020.5940000000001</v>
      </c>
      <c r="G406">
        <v>1020.5940000000001</v>
      </c>
    </row>
    <row r="407" spans="1:7" x14ac:dyDescent="0.55000000000000004">
      <c r="A407">
        <v>71920</v>
      </c>
      <c r="B407">
        <v>884</v>
      </c>
      <c r="C407">
        <v>29982</v>
      </c>
      <c r="D407" s="1">
        <v>39600</v>
      </c>
      <c r="E407">
        <v>7</v>
      </c>
      <c r="F407">
        <v>32.393999999999998</v>
      </c>
      <c r="G407">
        <v>226.75800000000001</v>
      </c>
    </row>
    <row r="408" spans="1:7" x14ac:dyDescent="0.55000000000000004">
      <c r="A408">
        <v>71920</v>
      </c>
      <c r="B408">
        <v>864</v>
      </c>
      <c r="C408">
        <v>29982</v>
      </c>
      <c r="D408" s="1">
        <v>39600</v>
      </c>
      <c r="E408">
        <v>3</v>
      </c>
      <c r="F408">
        <v>38.1</v>
      </c>
      <c r="G408">
        <v>114.3</v>
      </c>
    </row>
    <row r="409" spans="1:7" x14ac:dyDescent="0.55000000000000004">
      <c r="A409">
        <v>71920</v>
      </c>
      <c r="B409">
        <v>876</v>
      </c>
      <c r="C409">
        <v>29982</v>
      </c>
      <c r="D409" s="1">
        <v>39600</v>
      </c>
      <c r="E409">
        <v>1</v>
      </c>
      <c r="F409">
        <v>72</v>
      </c>
      <c r="G409">
        <v>72</v>
      </c>
    </row>
    <row r="410" spans="1:7" x14ac:dyDescent="0.55000000000000004">
      <c r="A410">
        <v>71923</v>
      </c>
      <c r="B410">
        <v>870</v>
      </c>
      <c r="C410">
        <v>29781</v>
      </c>
      <c r="D410" s="1">
        <v>39600</v>
      </c>
      <c r="E410">
        <v>1</v>
      </c>
      <c r="F410">
        <v>2.9940000000000002</v>
      </c>
      <c r="G410">
        <v>2.9940000000000002</v>
      </c>
    </row>
    <row r="411" spans="1:7" x14ac:dyDescent="0.55000000000000004">
      <c r="A411">
        <v>71923</v>
      </c>
      <c r="B411">
        <v>874</v>
      </c>
      <c r="C411">
        <v>29781</v>
      </c>
      <c r="D411" s="1">
        <v>39600</v>
      </c>
      <c r="E411">
        <v>4</v>
      </c>
      <c r="F411">
        <v>5.3940000000000001</v>
      </c>
      <c r="G411">
        <v>21.576000000000001</v>
      </c>
    </row>
    <row r="412" spans="1:7" x14ac:dyDescent="0.55000000000000004">
      <c r="A412">
        <v>71935</v>
      </c>
      <c r="B412">
        <v>874</v>
      </c>
      <c r="C412">
        <v>29531</v>
      </c>
      <c r="D412" s="1">
        <v>39600</v>
      </c>
      <c r="E412">
        <v>3</v>
      </c>
      <c r="F412">
        <v>5.3940000000000001</v>
      </c>
      <c r="G412">
        <v>16.181999999999999</v>
      </c>
    </row>
    <row r="413" spans="1:7" x14ac:dyDescent="0.55000000000000004">
      <c r="A413">
        <v>71935</v>
      </c>
      <c r="B413">
        <v>938</v>
      </c>
      <c r="C413">
        <v>29531</v>
      </c>
      <c r="D413" s="1">
        <v>39600</v>
      </c>
      <c r="E413">
        <v>1</v>
      </c>
      <c r="F413">
        <v>24.294</v>
      </c>
      <c r="G413">
        <v>24.294</v>
      </c>
    </row>
    <row r="414" spans="1:7" x14ac:dyDescent="0.55000000000000004">
      <c r="A414">
        <v>71935</v>
      </c>
      <c r="B414">
        <v>973</v>
      </c>
      <c r="C414">
        <v>29531</v>
      </c>
      <c r="D414" s="1">
        <v>39600</v>
      </c>
      <c r="E414">
        <v>3</v>
      </c>
      <c r="F414">
        <v>1020.5940000000001</v>
      </c>
      <c r="G414">
        <v>3061.7820000000002</v>
      </c>
    </row>
    <row r="415" spans="1:7" x14ac:dyDescent="0.55000000000000004">
      <c r="A415">
        <v>71935</v>
      </c>
      <c r="B415">
        <v>976</v>
      </c>
      <c r="C415">
        <v>29531</v>
      </c>
      <c r="D415" s="1">
        <v>39600</v>
      </c>
      <c r="E415">
        <v>2</v>
      </c>
      <c r="F415">
        <v>1020.5940000000001</v>
      </c>
      <c r="G415">
        <v>2041.1880000000001</v>
      </c>
    </row>
    <row r="416" spans="1:7" x14ac:dyDescent="0.55000000000000004">
      <c r="A416">
        <v>71935</v>
      </c>
      <c r="B416">
        <v>998</v>
      </c>
      <c r="C416">
        <v>29531</v>
      </c>
      <c r="D416" s="1">
        <v>39600</v>
      </c>
      <c r="E416">
        <v>1</v>
      </c>
      <c r="F416">
        <v>323.99400000000003</v>
      </c>
      <c r="G416">
        <v>323.99400000000003</v>
      </c>
    </row>
    <row r="417" spans="1:7" x14ac:dyDescent="0.55000000000000004">
      <c r="A417">
        <v>71936</v>
      </c>
      <c r="B417">
        <v>944</v>
      </c>
      <c r="C417">
        <v>30050</v>
      </c>
      <c r="D417" s="1">
        <v>39600</v>
      </c>
      <c r="E417">
        <v>3</v>
      </c>
      <c r="F417">
        <v>158.43</v>
      </c>
      <c r="G417">
        <v>475.29</v>
      </c>
    </row>
    <row r="418" spans="1:7" x14ac:dyDescent="0.55000000000000004">
      <c r="A418">
        <v>71936</v>
      </c>
      <c r="B418">
        <v>996</v>
      </c>
      <c r="C418">
        <v>30050</v>
      </c>
      <c r="D418" s="1">
        <v>39600</v>
      </c>
      <c r="E418">
        <v>4</v>
      </c>
      <c r="F418">
        <v>72.894000000000005</v>
      </c>
      <c r="G418">
        <v>291.57600000000002</v>
      </c>
    </row>
    <row r="419" spans="1:7" x14ac:dyDescent="0.55000000000000004">
      <c r="A419">
        <v>71936</v>
      </c>
      <c r="B419">
        <v>707</v>
      </c>
      <c r="C419">
        <v>30050</v>
      </c>
      <c r="D419" s="1">
        <v>39600</v>
      </c>
      <c r="E419">
        <v>1</v>
      </c>
      <c r="F419">
        <v>20.994</v>
      </c>
      <c r="G419">
        <v>20.994</v>
      </c>
    </row>
    <row r="420" spans="1:7" x14ac:dyDescent="0.55000000000000004">
      <c r="A420">
        <v>71936</v>
      </c>
      <c r="B420">
        <v>926</v>
      </c>
      <c r="C420">
        <v>30050</v>
      </c>
      <c r="D420" s="1">
        <v>39600</v>
      </c>
      <c r="E420">
        <v>1</v>
      </c>
      <c r="F420">
        <v>149.874</v>
      </c>
      <c r="G420">
        <v>149.874</v>
      </c>
    </row>
    <row r="421" spans="1:7" x14ac:dyDescent="0.55000000000000004">
      <c r="A421">
        <v>71936</v>
      </c>
      <c r="B421">
        <v>808</v>
      </c>
      <c r="C421">
        <v>30050</v>
      </c>
      <c r="D421" s="1">
        <v>39600</v>
      </c>
      <c r="E421">
        <v>4</v>
      </c>
      <c r="F421">
        <v>26.724</v>
      </c>
      <c r="G421">
        <v>106.896</v>
      </c>
    </row>
    <row r="422" spans="1:7" x14ac:dyDescent="0.55000000000000004">
      <c r="A422">
        <v>71936</v>
      </c>
      <c r="B422">
        <v>992</v>
      </c>
      <c r="C422">
        <v>30050</v>
      </c>
      <c r="D422" s="1">
        <v>39600</v>
      </c>
      <c r="E422">
        <v>5</v>
      </c>
      <c r="F422">
        <v>323.99400000000003</v>
      </c>
      <c r="G422">
        <v>1619.97</v>
      </c>
    </row>
    <row r="423" spans="1:7" x14ac:dyDescent="0.55000000000000004">
      <c r="A423">
        <v>71936</v>
      </c>
      <c r="B423">
        <v>951</v>
      </c>
      <c r="C423">
        <v>30050</v>
      </c>
      <c r="D423" s="1">
        <v>39600</v>
      </c>
      <c r="E423">
        <v>6</v>
      </c>
      <c r="F423">
        <v>242.994</v>
      </c>
      <c r="G423">
        <v>1457.9639999999999</v>
      </c>
    </row>
    <row r="424" spans="1:7" x14ac:dyDescent="0.55000000000000004">
      <c r="A424">
        <v>71936</v>
      </c>
      <c r="B424">
        <v>780</v>
      </c>
      <c r="C424">
        <v>30050</v>
      </c>
      <c r="D424" s="1">
        <v>39600</v>
      </c>
      <c r="E424">
        <v>3</v>
      </c>
      <c r="F424">
        <v>1391.9939999999999</v>
      </c>
      <c r="G424">
        <v>4175.982</v>
      </c>
    </row>
    <row r="425" spans="1:7" x14ac:dyDescent="0.55000000000000004">
      <c r="A425">
        <v>71936</v>
      </c>
      <c r="B425">
        <v>905</v>
      </c>
      <c r="C425">
        <v>30050</v>
      </c>
      <c r="D425" s="1">
        <v>39600</v>
      </c>
      <c r="E425">
        <v>2</v>
      </c>
      <c r="F425">
        <v>218.45400000000001</v>
      </c>
      <c r="G425">
        <v>436.90800000000002</v>
      </c>
    </row>
    <row r="426" spans="1:7" x14ac:dyDescent="0.55000000000000004">
      <c r="A426">
        <v>71936</v>
      </c>
      <c r="B426">
        <v>747</v>
      </c>
      <c r="C426">
        <v>30050</v>
      </c>
      <c r="D426" s="1">
        <v>39600</v>
      </c>
      <c r="E426">
        <v>4</v>
      </c>
      <c r="F426">
        <v>809.76</v>
      </c>
      <c r="G426">
        <v>3239.04</v>
      </c>
    </row>
    <row r="427" spans="1:7" x14ac:dyDescent="0.55000000000000004">
      <c r="A427">
        <v>71936</v>
      </c>
      <c r="B427">
        <v>935</v>
      </c>
      <c r="C427">
        <v>30050</v>
      </c>
      <c r="D427" s="1">
        <v>39600</v>
      </c>
      <c r="E427">
        <v>3</v>
      </c>
      <c r="F427">
        <v>24.294</v>
      </c>
      <c r="G427">
        <v>72.882000000000005</v>
      </c>
    </row>
    <row r="428" spans="1:7" x14ac:dyDescent="0.55000000000000004">
      <c r="A428">
        <v>71936</v>
      </c>
      <c r="B428">
        <v>945</v>
      </c>
      <c r="C428">
        <v>30050</v>
      </c>
      <c r="D428" s="1">
        <v>39600</v>
      </c>
      <c r="E428">
        <v>5</v>
      </c>
      <c r="F428">
        <v>54.893999999999998</v>
      </c>
      <c r="G428">
        <v>274.47000000000003</v>
      </c>
    </row>
    <row r="429" spans="1:7" x14ac:dyDescent="0.55000000000000004">
      <c r="A429">
        <v>71936</v>
      </c>
      <c r="B429">
        <v>924</v>
      </c>
      <c r="C429">
        <v>30050</v>
      </c>
      <c r="D429" s="1">
        <v>39600</v>
      </c>
      <c r="E429">
        <v>5</v>
      </c>
      <c r="F429">
        <v>149.874</v>
      </c>
      <c r="G429">
        <v>749.37</v>
      </c>
    </row>
    <row r="430" spans="1:7" x14ac:dyDescent="0.55000000000000004">
      <c r="A430">
        <v>71936</v>
      </c>
      <c r="B430">
        <v>783</v>
      </c>
      <c r="C430">
        <v>30050</v>
      </c>
      <c r="D430" s="1">
        <v>39600</v>
      </c>
      <c r="E430">
        <v>10</v>
      </c>
      <c r="F430">
        <v>1376.9939999999999</v>
      </c>
      <c r="G430">
        <v>13769.94</v>
      </c>
    </row>
    <row r="431" spans="1:7" x14ac:dyDescent="0.55000000000000004">
      <c r="A431">
        <v>71936</v>
      </c>
      <c r="B431">
        <v>784</v>
      </c>
      <c r="C431">
        <v>30050</v>
      </c>
      <c r="D431" s="1">
        <v>39600</v>
      </c>
      <c r="E431">
        <v>5</v>
      </c>
      <c r="F431">
        <v>1376.9939999999999</v>
      </c>
      <c r="G431">
        <v>6884.97</v>
      </c>
    </row>
    <row r="432" spans="1:7" x14ac:dyDescent="0.55000000000000004">
      <c r="A432">
        <v>71936</v>
      </c>
      <c r="B432">
        <v>748</v>
      </c>
      <c r="C432">
        <v>30050</v>
      </c>
      <c r="D432" s="1">
        <v>39600</v>
      </c>
      <c r="E432">
        <v>5</v>
      </c>
      <c r="F432">
        <v>818.7</v>
      </c>
      <c r="G432">
        <v>4093.5</v>
      </c>
    </row>
    <row r="433" spans="1:7" x14ac:dyDescent="0.55000000000000004">
      <c r="A433">
        <v>71936</v>
      </c>
      <c r="B433">
        <v>981</v>
      </c>
      <c r="C433">
        <v>30050</v>
      </c>
      <c r="D433" s="1">
        <v>39600</v>
      </c>
      <c r="E433">
        <v>2</v>
      </c>
      <c r="F433">
        <v>461.69400000000002</v>
      </c>
      <c r="G433">
        <v>923.38800000000003</v>
      </c>
    </row>
    <row r="434" spans="1:7" x14ac:dyDescent="0.55000000000000004">
      <c r="A434">
        <v>71936</v>
      </c>
      <c r="B434">
        <v>894</v>
      </c>
      <c r="C434">
        <v>30050</v>
      </c>
      <c r="D434" s="1">
        <v>39600</v>
      </c>
      <c r="E434">
        <v>5</v>
      </c>
      <c r="F434">
        <v>72.876000000000005</v>
      </c>
      <c r="G434">
        <v>364.38</v>
      </c>
    </row>
    <row r="435" spans="1:7" x14ac:dyDescent="0.55000000000000004">
      <c r="A435">
        <v>71936</v>
      </c>
      <c r="B435">
        <v>779</v>
      </c>
      <c r="C435">
        <v>30050</v>
      </c>
      <c r="D435" s="1">
        <v>39600</v>
      </c>
      <c r="E435">
        <v>4</v>
      </c>
      <c r="F435">
        <v>1391.9939999999999</v>
      </c>
      <c r="G435">
        <v>5567.9759999999997</v>
      </c>
    </row>
    <row r="436" spans="1:7" x14ac:dyDescent="0.55000000000000004">
      <c r="A436">
        <v>71936</v>
      </c>
      <c r="B436">
        <v>782</v>
      </c>
      <c r="C436">
        <v>30050</v>
      </c>
      <c r="D436" s="1">
        <v>39600</v>
      </c>
      <c r="E436">
        <v>8</v>
      </c>
      <c r="F436">
        <v>1376.9939999999999</v>
      </c>
      <c r="G436">
        <v>11015.951999999999</v>
      </c>
    </row>
    <row r="437" spans="1:7" x14ac:dyDescent="0.55000000000000004">
      <c r="A437">
        <v>71936</v>
      </c>
      <c r="B437">
        <v>869</v>
      </c>
      <c r="C437">
        <v>30050</v>
      </c>
      <c r="D437" s="1">
        <v>39600</v>
      </c>
      <c r="E437">
        <v>8</v>
      </c>
      <c r="F437">
        <v>41.994</v>
      </c>
      <c r="G437">
        <v>335.952</v>
      </c>
    </row>
    <row r="438" spans="1:7" x14ac:dyDescent="0.55000000000000004">
      <c r="A438">
        <v>71936</v>
      </c>
      <c r="B438">
        <v>952</v>
      </c>
      <c r="C438">
        <v>30050</v>
      </c>
      <c r="D438" s="1">
        <v>39600</v>
      </c>
      <c r="E438">
        <v>3</v>
      </c>
      <c r="F438">
        <v>12.144</v>
      </c>
      <c r="G438">
        <v>36.432000000000002</v>
      </c>
    </row>
    <row r="439" spans="1:7" x14ac:dyDescent="0.55000000000000004">
      <c r="A439">
        <v>71936</v>
      </c>
      <c r="B439">
        <v>949</v>
      </c>
      <c r="C439">
        <v>30050</v>
      </c>
      <c r="D439" s="1">
        <v>39600</v>
      </c>
      <c r="E439">
        <v>3</v>
      </c>
      <c r="F439">
        <v>105.294</v>
      </c>
      <c r="G439">
        <v>315.88200000000001</v>
      </c>
    </row>
    <row r="440" spans="1:7" x14ac:dyDescent="0.55000000000000004">
      <c r="A440">
        <v>71936</v>
      </c>
      <c r="B440">
        <v>937</v>
      </c>
      <c r="C440">
        <v>30050</v>
      </c>
      <c r="D440" s="1">
        <v>39600</v>
      </c>
      <c r="E440">
        <v>5</v>
      </c>
      <c r="F440">
        <v>48.594000000000001</v>
      </c>
      <c r="G440">
        <v>242.97</v>
      </c>
    </row>
    <row r="441" spans="1:7" x14ac:dyDescent="0.55000000000000004">
      <c r="A441">
        <v>71936</v>
      </c>
      <c r="B441">
        <v>910</v>
      </c>
      <c r="C441">
        <v>30050</v>
      </c>
      <c r="D441" s="1">
        <v>39600</v>
      </c>
      <c r="E441">
        <v>3</v>
      </c>
      <c r="F441">
        <v>31.584</v>
      </c>
      <c r="G441">
        <v>94.751999999999995</v>
      </c>
    </row>
    <row r="442" spans="1:7" x14ac:dyDescent="0.55000000000000004">
      <c r="A442">
        <v>71936</v>
      </c>
      <c r="B442">
        <v>917</v>
      </c>
      <c r="C442">
        <v>30050</v>
      </c>
      <c r="D442" s="1">
        <v>39600</v>
      </c>
      <c r="E442">
        <v>2</v>
      </c>
      <c r="F442">
        <v>158.43</v>
      </c>
      <c r="G442">
        <v>316.86</v>
      </c>
    </row>
    <row r="443" spans="1:7" x14ac:dyDescent="0.55000000000000004">
      <c r="A443">
        <v>71936</v>
      </c>
      <c r="B443">
        <v>994</v>
      </c>
      <c r="C443">
        <v>30050</v>
      </c>
      <c r="D443" s="1">
        <v>39600</v>
      </c>
      <c r="E443">
        <v>3</v>
      </c>
      <c r="F443">
        <v>32.393999999999998</v>
      </c>
      <c r="G443">
        <v>97.182000000000002</v>
      </c>
    </row>
    <row r="444" spans="1:7" x14ac:dyDescent="0.55000000000000004">
      <c r="A444">
        <v>71936</v>
      </c>
      <c r="B444">
        <v>860</v>
      </c>
      <c r="C444">
        <v>30050</v>
      </c>
      <c r="D444" s="1">
        <v>39600</v>
      </c>
      <c r="E444">
        <v>6</v>
      </c>
      <c r="F444">
        <v>14.694000000000001</v>
      </c>
      <c r="G444">
        <v>88.164000000000001</v>
      </c>
    </row>
    <row r="445" spans="1:7" x14ac:dyDescent="0.55000000000000004">
      <c r="A445">
        <v>71936</v>
      </c>
      <c r="B445">
        <v>948</v>
      </c>
      <c r="C445">
        <v>30050</v>
      </c>
      <c r="D445" s="1">
        <v>39600</v>
      </c>
      <c r="E445">
        <v>4</v>
      </c>
      <c r="F445">
        <v>63.9</v>
      </c>
      <c r="G445">
        <v>255.6</v>
      </c>
    </row>
    <row r="446" spans="1:7" x14ac:dyDescent="0.55000000000000004">
      <c r="A446">
        <v>71936</v>
      </c>
      <c r="B446">
        <v>925</v>
      </c>
      <c r="C446">
        <v>30050</v>
      </c>
      <c r="D446" s="1">
        <v>39600</v>
      </c>
      <c r="E446">
        <v>6</v>
      </c>
      <c r="F446">
        <v>149.874</v>
      </c>
      <c r="G446">
        <v>899.24400000000003</v>
      </c>
    </row>
    <row r="447" spans="1:7" x14ac:dyDescent="0.55000000000000004">
      <c r="A447">
        <v>71936</v>
      </c>
      <c r="B447">
        <v>908</v>
      </c>
      <c r="C447">
        <v>30050</v>
      </c>
      <c r="D447" s="1">
        <v>39600</v>
      </c>
      <c r="E447">
        <v>3</v>
      </c>
      <c r="F447">
        <v>16.271999999999998</v>
      </c>
      <c r="G447">
        <v>48.816000000000003</v>
      </c>
    </row>
    <row r="448" spans="1:7" x14ac:dyDescent="0.55000000000000004">
      <c r="A448">
        <v>71936</v>
      </c>
      <c r="B448">
        <v>918</v>
      </c>
      <c r="C448">
        <v>30050</v>
      </c>
      <c r="D448" s="1">
        <v>39600</v>
      </c>
      <c r="E448">
        <v>1</v>
      </c>
      <c r="F448">
        <v>158.43</v>
      </c>
      <c r="G448">
        <v>158.43</v>
      </c>
    </row>
    <row r="449" spans="1:7" x14ac:dyDescent="0.55000000000000004">
      <c r="A449">
        <v>71936</v>
      </c>
      <c r="B449">
        <v>743</v>
      </c>
      <c r="C449">
        <v>30050</v>
      </c>
      <c r="D449" s="1">
        <v>39600</v>
      </c>
      <c r="E449">
        <v>4</v>
      </c>
      <c r="F449">
        <v>809.76</v>
      </c>
      <c r="G449">
        <v>3239.04</v>
      </c>
    </row>
    <row r="450" spans="1:7" x14ac:dyDescent="0.55000000000000004">
      <c r="A450">
        <v>71936</v>
      </c>
      <c r="B450">
        <v>739</v>
      </c>
      <c r="C450">
        <v>30050</v>
      </c>
      <c r="D450" s="1">
        <v>39600</v>
      </c>
      <c r="E450">
        <v>5</v>
      </c>
      <c r="F450">
        <v>818.7</v>
      </c>
      <c r="G450">
        <v>4093.5</v>
      </c>
    </row>
    <row r="451" spans="1:7" x14ac:dyDescent="0.55000000000000004">
      <c r="A451">
        <v>71936</v>
      </c>
      <c r="B451">
        <v>809</v>
      </c>
      <c r="C451">
        <v>30050</v>
      </c>
      <c r="D451" s="1">
        <v>39600</v>
      </c>
      <c r="E451">
        <v>5</v>
      </c>
      <c r="F451">
        <v>37.152000000000001</v>
      </c>
      <c r="G451">
        <v>185.76</v>
      </c>
    </row>
    <row r="452" spans="1:7" x14ac:dyDescent="0.55000000000000004">
      <c r="A452">
        <v>71936</v>
      </c>
      <c r="B452">
        <v>904</v>
      </c>
      <c r="C452">
        <v>30050</v>
      </c>
      <c r="D452" s="1">
        <v>39600</v>
      </c>
      <c r="E452">
        <v>2</v>
      </c>
      <c r="F452">
        <v>218.45400000000001</v>
      </c>
      <c r="G452">
        <v>436.90800000000002</v>
      </c>
    </row>
    <row r="453" spans="1:7" x14ac:dyDescent="0.55000000000000004">
      <c r="A453">
        <v>71936</v>
      </c>
      <c r="B453">
        <v>781</v>
      </c>
      <c r="C453">
        <v>30050</v>
      </c>
      <c r="D453" s="1">
        <v>39600</v>
      </c>
      <c r="E453">
        <v>4</v>
      </c>
      <c r="F453">
        <v>1391.9939999999999</v>
      </c>
      <c r="G453">
        <v>5567.9759999999997</v>
      </c>
    </row>
    <row r="454" spans="1:7" x14ac:dyDescent="0.55000000000000004">
      <c r="A454">
        <v>71936</v>
      </c>
      <c r="B454">
        <v>868</v>
      </c>
      <c r="C454">
        <v>30050</v>
      </c>
      <c r="D454" s="1">
        <v>39600</v>
      </c>
      <c r="E454">
        <v>4</v>
      </c>
      <c r="F454">
        <v>41.994</v>
      </c>
      <c r="G454">
        <v>167.976</v>
      </c>
    </row>
    <row r="455" spans="1:7" x14ac:dyDescent="0.55000000000000004">
      <c r="A455">
        <v>71936</v>
      </c>
      <c r="B455">
        <v>742</v>
      </c>
      <c r="C455">
        <v>30050</v>
      </c>
      <c r="D455" s="1">
        <v>39600</v>
      </c>
      <c r="E455">
        <v>7</v>
      </c>
      <c r="F455">
        <v>818.7</v>
      </c>
      <c r="G455">
        <v>5730.9</v>
      </c>
    </row>
    <row r="456" spans="1:7" x14ac:dyDescent="0.55000000000000004">
      <c r="A456">
        <v>71936</v>
      </c>
      <c r="B456">
        <v>936</v>
      </c>
      <c r="C456">
        <v>30050</v>
      </c>
      <c r="D456" s="1">
        <v>39600</v>
      </c>
      <c r="E456">
        <v>2</v>
      </c>
      <c r="F456">
        <v>37.253999999999998</v>
      </c>
      <c r="G456">
        <v>74.507999999999996</v>
      </c>
    </row>
    <row r="457" spans="1:7" x14ac:dyDescent="0.55000000000000004">
      <c r="A457">
        <v>71936</v>
      </c>
      <c r="B457">
        <v>909</v>
      </c>
      <c r="C457">
        <v>30050</v>
      </c>
      <c r="D457" s="1">
        <v>39600</v>
      </c>
      <c r="E457">
        <v>6</v>
      </c>
      <c r="F457">
        <v>23.484000000000002</v>
      </c>
      <c r="G457">
        <v>140.904</v>
      </c>
    </row>
    <row r="458" spans="1:7" x14ac:dyDescent="0.55000000000000004">
      <c r="A458">
        <v>71938</v>
      </c>
      <c r="B458">
        <v>973</v>
      </c>
      <c r="C458">
        <v>29546</v>
      </c>
      <c r="D458" s="1">
        <v>39600</v>
      </c>
      <c r="E458">
        <v>5</v>
      </c>
      <c r="F458">
        <v>1020.5940000000001</v>
      </c>
      <c r="G458">
        <v>5102.97</v>
      </c>
    </row>
    <row r="459" spans="1:7" x14ac:dyDescent="0.55000000000000004">
      <c r="A459">
        <v>71938</v>
      </c>
      <c r="B459">
        <v>876</v>
      </c>
      <c r="C459">
        <v>29546</v>
      </c>
      <c r="D459" s="1">
        <v>39600</v>
      </c>
      <c r="E459">
        <v>3</v>
      </c>
      <c r="F459">
        <v>72</v>
      </c>
      <c r="G459">
        <v>216</v>
      </c>
    </row>
    <row r="460" spans="1:7" x14ac:dyDescent="0.55000000000000004">
      <c r="A460">
        <v>71938</v>
      </c>
      <c r="B460">
        <v>835</v>
      </c>
      <c r="C460">
        <v>29546</v>
      </c>
      <c r="D460" s="1">
        <v>39600</v>
      </c>
      <c r="E460">
        <v>2</v>
      </c>
      <c r="F460">
        <v>356.89800000000002</v>
      </c>
      <c r="G460">
        <v>713.79600000000005</v>
      </c>
    </row>
    <row r="461" spans="1:7" x14ac:dyDescent="0.55000000000000004">
      <c r="A461">
        <v>71938</v>
      </c>
      <c r="B461">
        <v>974</v>
      </c>
      <c r="C461">
        <v>29546</v>
      </c>
      <c r="D461" s="1">
        <v>39600</v>
      </c>
      <c r="E461">
        <v>3</v>
      </c>
      <c r="F461">
        <v>1020.5940000000001</v>
      </c>
      <c r="G461">
        <v>3061.7820000000002</v>
      </c>
    </row>
    <row r="462" spans="1:7" x14ac:dyDescent="0.55000000000000004">
      <c r="A462">
        <v>71938</v>
      </c>
      <c r="B462">
        <v>707</v>
      </c>
      <c r="C462">
        <v>29546</v>
      </c>
      <c r="D462" s="1">
        <v>39600</v>
      </c>
      <c r="E462">
        <v>3</v>
      </c>
      <c r="F462">
        <v>20.994</v>
      </c>
      <c r="G462">
        <v>62.981999999999999</v>
      </c>
    </row>
    <row r="463" spans="1:7" x14ac:dyDescent="0.55000000000000004">
      <c r="A463">
        <v>71938</v>
      </c>
      <c r="B463">
        <v>813</v>
      </c>
      <c r="C463">
        <v>29546</v>
      </c>
      <c r="D463" s="1">
        <v>39600</v>
      </c>
      <c r="E463">
        <v>1</v>
      </c>
      <c r="F463">
        <v>72.162000000000006</v>
      </c>
      <c r="G463">
        <v>72.162000000000006</v>
      </c>
    </row>
    <row r="464" spans="1:7" x14ac:dyDescent="0.55000000000000004">
      <c r="A464">
        <v>71938</v>
      </c>
      <c r="B464">
        <v>938</v>
      </c>
      <c r="C464">
        <v>29546</v>
      </c>
      <c r="D464" s="1">
        <v>39600</v>
      </c>
      <c r="E464">
        <v>5</v>
      </c>
      <c r="F464">
        <v>24.294</v>
      </c>
      <c r="G464">
        <v>121.47</v>
      </c>
    </row>
    <row r="465" spans="1:7" x14ac:dyDescent="0.55000000000000004">
      <c r="A465">
        <v>71938</v>
      </c>
      <c r="B465">
        <v>884</v>
      </c>
      <c r="C465">
        <v>29546</v>
      </c>
      <c r="D465" s="1">
        <v>39600</v>
      </c>
      <c r="E465">
        <v>5</v>
      </c>
      <c r="F465">
        <v>32.393999999999998</v>
      </c>
      <c r="G465">
        <v>161.97</v>
      </c>
    </row>
    <row r="466" spans="1:7" x14ac:dyDescent="0.55000000000000004">
      <c r="A466">
        <v>71938</v>
      </c>
      <c r="B466">
        <v>711</v>
      </c>
      <c r="C466">
        <v>29546</v>
      </c>
      <c r="D466" s="1">
        <v>39600</v>
      </c>
      <c r="E466">
        <v>3</v>
      </c>
      <c r="F466">
        <v>20.994</v>
      </c>
      <c r="G466">
        <v>62.981999999999999</v>
      </c>
    </row>
    <row r="467" spans="1:7" x14ac:dyDescent="0.55000000000000004">
      <c r="A467">
        <v>71938</v>
      </c>
      <c r="B467">
        <v>712</v>
      </c>
      <c r="C467">
        <v>29546</v>
      </c>
      <c r="D467" s="1">
        <v>39600</v>
      </c>
      <c r="E467">
        <v>1</v>
      </c>
      <c r="F467">
        <v>5.3940000000000001</v>
      </c>
      <c r="G467">
        <v>5.3940000000000001</v>
      </c>
    </row>
    <row r="468" spans="1:7" x14ac:dyDescent="0.55000000000000004">
      <c r="A468">
        <v>71938</v>
      </c>
      <c r="B468">
        <v>940</v>
      </c>
      <c r="C468">
        <v>29546</v>
      </c>
      <c r="D468" s="1">
        <v>39600</v>
      </c>
      <c r="E468">
        <v>5</v>
      </c>
      <c r="F468">
        <v>48.594000000000001</v>
      </c>
      <c r="G468">
        <v>242.97</v>
      </c>
    </row>
    <row r="469" spans="1:7" x14ac:dyDescent="0.55000000000000004">
      <c r="A469">
        <v>71938</v>
      </c>
      <c r="B469">
        <v>792</v>
      </c>
      <c r="C469">
        <v>29546</v>
      </c>
      <c r="D469" s="1">
        <v>39600</v>
      </c>
      <c r="E469">
        <v>3</v>
      </c>
      <c r="F469">
        <v>1466.01</v>
      </c>
      <c r="G469">
        <v>4398.03</v>
      </c>
    </row>
    <row r="470" spans="1:7" x14ac:dyDescent="0.55000000000000004">
      <c r="A470">
        <v>71938</v>
      </c>
      <c r="B470">
        <v>976</v>
      </c>
      <c r="C470">
        <v>29546</v>
      </c>
      <c r="D470" s="1">
        <v>39600</v>
      </c>
      <c r="E470">
        <v>5</v>
      </c>
      <c r="F470">
        <v>1020.5940000000001</v>
      </c>
      <c r="G470">
        <v>5102.97</v>
      </c>
    </row>
    <row r="471" spans="1:7" x14ac:dyDescent="0.55000000000000004">
      <c r="A471">
        <v>71938</v>
      </c>
      <c r="B471">
        <v>798</v>
      </c>
      <c r="C471">
        <v>29546</v>
      </c>
      <c r="D471" s="1">
        <v>39600</v>
      </c>
      <c r="E471">
        <v>5</v>
      </c>
      <c r="F471">
        <v>672.29399999999998</v>
      </c>
      <c r="G471">
        <v>3361.47</v>
      </c>
    </row>
    <row r="472" spans="1:7" x14ac:dyDescent="0.55000000000000004">
      <c r="A472">
        <v>71938</v>
      </c>
      <c r="B472">
        <v>799</v>
      </c>
      <c r="C472">
        <v>29546</v>
      </c>
      <c r="D472" s="1">
        <v>39600</v>
      </c>
      <c r="E472">
        <v>4</v>
      </c>
      <c r="F472">
        <v>672.29399999999998</v>
      </c>
      <c r="G472">
        <v>2689.1759999999999</v>
      </c>
    </row>
    <row r="473" spans="1:7" x14ac:dyDescent="0.55000000000000004">
      <c r="A473">
        <v>71938</v>
      </c>
      <c r="B473">
        <v>864</v>
      </c>
      <c r="C473">
        <v>29546</v>
      </c>
      <c r="D473" s="1">
        <v>39600</v>
      </c>
      <c r="E473">
        <v>4</v>
      </c>
      <c r="F473">
        <v>38.1</v>
      </c>
      <c r="G473">
        <v>152.4</v>
      </c>
    </row>
    <row r="474" spans="1:7" x14ac:dyDescent="0.55000000000000004">
      <c r="A474">
        <v>71938</v>
      </c>
      <c r="B474">
        <v>714</v>
      </c>
      <c r="C474">
        <v>29546</v>
      </c>
      <c r="D474" s="1">
        <v>39600</v>
      </c>
      <c r="E474">
        <v>2</v>
      </c>
      <c r="F474">
        <v>29.994</v>
      </c>
      <c r="G474">
        <v>59.988</v>
      </c>
    </row>
    <row r="475" spans="1:7" x14ac:dyDescent="0.55000000000000004">
      <c r="A475">
        <v>71938</v>
      </c>
      <c r="B475">
        <v>999</v>
      </c>
      <c r="C475">
        <v>29546</v>
      </c>
      <c r="D475" s="1">
        <v>39600</v>
      </c>
      <c r="E475">
        <v>4</v>
      </c>
      <c r="F475">
        <v>323.99400000000003</v>
      </c>
      <c r="G475">
        <v>1295.9760000000001</v>
      </c>
    </row>
    <row r="476" spans="1:7" x14ac:dyDescent="0.55000000000000004">
      <c r="A476">
        <v>71938</v>
      </c>
      <c r="B476">
        <v>998</v>
      </c>
      <c r="C476">
        <v>29546</v>
      </c>
      <c r="D476" s="1">
        <v>39600</v>
      </c>
      <c r="E476">
        <v>5</v>
      </c>
      <c r="F476">
        <v>323.99400000000003</v>
      </c>
      <c r="G476">
        <v>1619.97</v>
      </c>
    </row>
    <row r="477" spans="1:7" x14ac:dyDescent="0.55000000000000004">
      <c r="A477">
        <v>71938</v>
      </c>
      <c r="B477">
        <v>877</v>
      </c>
      <c r="C477">
        <v>29546</v>
      </c>
      <c r="D477" s="1">
        <v>39600</v>
      </c>
      <c r="E477">
        <v>6</v>
      </c>
      <c r="F477">
        <v>4.7699999999999996</v>
      </c>
      <c r="G477">
        <v>28.62</v>
      </c>
    </row>
    <row r="478" spans="1:7" x14ac:dyDescent="0.55000000000000004">
      <c r="A478">
        <v>71938</v>
      </c>
      <c r="B478">
        <v>796</v>
      </c>
      <c r="C478">
        <v>29546</v>
      </c>
      <c r="D478" s="1">
        <v>39600</v>
      </c>
      <c r="E478">
        <v>3</v>
      </c>
      <c r="F478">
        <v>1466.01</v>
      </c>
      <c r="G478">
        <v>4398.03</v>
      </c>
    </row>
    <row r="479" spans="1:7" x14ac:dyDescent="0.55000000000000004">
      <c r="A479">
        <v>71938</v>
      </c>
      <c r="B479">
        <v>708</v>
      </c>
      <c r="C479">
        <v>29546</v>
      </c>
      <c r="D479" s="1">
        <v>39600</v>
      </c>
      <c r="E479">
        <v>5</v>
      </c>
      <c r="F479">
        <v>20.994</v>
      </c>
      <c r="G479">
        <v>104.97</v>
      </c>
    </row>
    <row r="480" spans="1:7" x14ac:dyDescent="0.55000000000000004">
      <c r="A480">
        <v>71938</v>
      </c>
      <c r="B480">
        <v>865</v>
      </c>
      <c r="C480">
        <v>29546</v>
      </c>
      <c r="D480" s="1">
        <v>39600</v>
      </c>
      <c r="E480">
        <v>5</v>
      </c>
      <c r="F480">
        <v>38.1</v>
      </c>
      <c r="G480">
        <v>190.5</v>
      </c>
    </row>
    <row r="481" spans="1:7" x14ac:dyDescent="0.55000000000000004">
      <c r="A481">
        <v>71938</v>
      </c>
      <c r="B481">
        <v>738</v>
      </c>
      <c r="C481">
        <v>29546</v>
      </c>
      <c r="D481" s="1">
        <v>39600</v>
      </c>
      <c r="E481">
        <v>3</v>
      </c>
      <c r="F481">
        <v>202.33199999999999</v>
      </c>
      <c r="G481">
        <v>606.99599999999998</v>
      </c>
    </row>
    <row r="482" spans="1:7" x14ac:dyDescent="0.55000000000000004">
      <c r="A482">
        <v>71938</v>
      </c>
      <c r="B482">
        <v>883</v>
      </c>
      <c r="C482">
        <v>29546</v>
      </c>
      <c r="D482" s="1">
        <v>39600</v>
      </c>
      <c r="E482">
        <v>3</v>
      </c>
      <c r="F482">
        <v>32.393999999999998</v>
      </c>
      <c r="G482">
        <v>97.182000000000002</v>
      </c>
    </row>
    <row r="483" spans="1:7" x14ac:dyDescent="0.55000000000000004">
      <c r="A483">
        <v>71938</v>
      </c>
      <c r="B483">
        <v>997</v>
      </c>
      <c r="C483">
        <v>29546</v>
      </c>
      <c r="D483" s="1">
        <v>39600</v>
      </c>
      <c r="E483">
        <v>3</v>
      </c>
      <c r="F483">
        <v>323.99400000000003</v>
      </c>
      <c r="G483">
        <v>971.98199999999997</v>
      </c>
    </row>
    <row r="484" spans="1:7" x14ac:dyDescent="0.55000000000000004">
      <c r="A484">
        <v>71938</v>
      </c>
      <c r="B484">
        <v>870</v>
      </c>
      <c r="C484">
        <v>29546</v>
      </c>
      <c r="D484" s="1">
        <v>39600</v>
      </c>
      <c r="E484">
        <v>8</v>
      </c>
      <c r="F484">
        <v>2.9940000000000002</v>
      </c>
      <c r="G484">
        <v>23.952000000000002</v>
      </c>
    </row>
    <row r="485" spans="1:7" x14ac:dyDescent="0.55000000000000004">
      <c r="A485">
        <v>71938</v>
      </c>
      <c r="B485">
        <v>795</v>
      </c>
      <c r="C485">
        <v>29546</v>
      </c>
      <c r="D485" s="1">
        <v>39600</v>
      </c>
      <c r="E485">
        <v>6</v>
      </c>
      <c r="F485">
        <v>1466.01</v>
      </c>
      <c r="G485">
        <v>8796.06</v>
      </c>
    </row>
    <row r="486" spans="1:7" x14ac:dyDescent="0.55000000000000004">
      <c r="A486">
        <v>71938</v>
      </c>
      <c r="B486">
        <v>874</v>
      </c>
      <c r="C486">
        <v>29546</v>
      </c>
      <c r="D486" s="1">
        <v>39600</v>
      </c>
      <c r="E486">
        <v>4</v>
      </c>
      <c r="F486">
        <v>5.3940000000000001</v>
      </c>
      <c r="G486">
        <v>21.576000000000001</v>
      </c>
    </row>
    <row r="487" spans="1:7" x14ac:dyDescent="0.55000000000000004">
      <c r="A487">
        <v>71938</v>
      </c>
      <c r="B487">
        <v>859</v>
      </c>
      <c r="C487">
        <v>29546</v>
      </c>
      <c r="D487" s="1">
        <v>39600</v>
      </c>
      <c r="E487">
        <v>2</v>
      </c>
      <c r="F487">
        <v>14.694000000000001</v>
      </c>
      <c r="G487">
        <v>29.388000000000002</v>
      </c>
    </row>
    <row r="488" spans="1:7" x14ac:dyDescent="0.55000000000000004">
      <c r="A488">
        <v>71938</v>
      </c>
      <c r="B488">
        <v>975</v>
      </c>
      <c r="C488">
        <v>29546</v>
      </c>
      <c r="D488" s="1">
        <v>39600</v>
      </c>
      <c r="E488">
        <v>5</v>
      </c>
      <c r="F488">
        <v>1020.5940000000001</v>
      </c>
      <c r="G488">
        <v>5102.97</v>
      </c>
    </row>
    <row r="489" spans="1:7" x14ac:dyDescent="0.55000000000000004">
      <c r="A489">
        <v>71938</v>
      </c>
      <c r="B489">
        <v>793</v>
      </c>
      <c r="C489">
        <v>29546</v>
      </c>
      <c r="D489" s="1">
        <v>39600</v>
      </c>
      <c r="E489">
        <v>3</v>
      </c>
      <c r="F489">
        <v>1466.01</v>
      </c>
      <c r="G489">
        <v>4398.03</v>
      </c>
    </row>
    <row r="490" spans="1:7" x14ac:dyDescent="0.55000000000000004">
      <c r="A490">
        <v>71938</v>
      </c>
      <c r="B490">
        <v>797</v>
      </c>
      <c r="C490">
        <v>29546</v>
      </c>
      <c r="D490" s="1">
        <v>39600</v>
      </c>
      <c r="E490">
        <v>5</v>
      </c>
      <c r="F490">
        <v>672.29399999999998</v>
      </c>
      <c r="G490">
        <v>3361.47</v>
      </c>
    </row>
    <row r="491" spans="1:7" x14ac:dyDescent="0.55000000000000004">
      <c r="A491">
        <v>71938</v>
      </c>
      <c r="B491">
        <v>880</v>
      </c>
      <c r="C491">
        <v>29546</v>
      </c>
      <c r="D491" s="1">
        <v>39600</v>
      </c>
      <c r="E491">
        <v>7</v>
      </c>
      <c r="F491">
        <v>32.994</v>
      </c>
      <c r="G491">
        <v>230.958</v>
      </c>
    </row>
    <row r="492" spans="1:7" x14ac:dyDescent="0.55000000000000004">
      <c r="A492">
        <v>71938</v>
      </c>
      <c r="B492">
        <v>977</v>
      </c>
      <c r="C492">
        <v>29546</v>
      </c>
      <c r="D492" s="1">
        <v>39600</v>
      </c>
      <c r="E492">
        <v>4</v>
      </c>
      <c r="F492">
        <v>323.99400000000003</v>
      </c>
      <c r="G492">
        <v>1295.9760000000001</v>
      </c>
    </row>
    <row r="493" spans="1:7" x14ac:dyDescent="0.55000000000000004">
      <c r="A493">
        <v>71938</v>
      </c>
      <c r="B493">
        <v>801</v>
      </c>
      <c r="C493">
        <v>29546</v>
      </c>
      <c r="D493" s="1">
        <v>39600</v>
      </c>
      <c r="E493">
        <v>5</v>
      </c>
      <c r="F493">
        <v>672.29399999999998</v>
      </c>
      <c r="G493">
        <v>3361.47</v>
      </c>
    </row>
    <row r="494" spans="1:7" x14ac:dyDescent="0.55000000000000004">
      <c r="A494">
        <v>71938</v>
      </c>
      <c r="B494">
        <v>794</v>
      </c>
      <c r="C494">
        <v>29546</v>
      </c>
      <c r="D494" s="1">
        <v>39600</v>
      </c>
      <c r="E494">
        <v>7</v>
      </c>
      <c r="F494">
        <v>1466.01</v>
      </c>
      <c r="G494">
        <v>10262.07</v>
      </c>
    </row>
    <row r="495" spans="1:7" x14ac:dyDescent="0.55000000000000004">
      <c r="A495">
        <v>71938</v>
      </c>
      <c r="B495">
        <v>939</v>
      </c>
      <c r="C495">
        <v>29546</v>
      </c>
      <c r="D495" s="1">
        <v>39600</v>
      </c>
      <c r="E495">
        <v>6</v>
      </c>
      <c r="F495">
        <v>37.253999999999998</v>
      </c>
      <c r="G495">
        <v>223.524</v>
      </c>
    </row>
    <row r="496" spans="1:7" x14ac:dyDescent="0.55000000000000004">
      <c r="A496">
        <v>71938</v>
      </c>
      <c r="B496">
        <v>715</v>
      </c>
      <c r="C496">
        <v>29546</v>
      </c>
      <c r="D496" s="1">
        <v>39600</v>
      </c>
      <c r="E496">
        <v>3</v>
      </c>
      <c r="F496">
        <v>29.994</v>
      </c>
      <c r="G496">
        <v>89.981999999999999</v>
      </c>
    </row>
    <row r="497" spans="1:7" x14ac:dyDescent="0.55000000000000004">
      <c r="A497">
        <v>71938</v>
      </c>
      <c r="B497">
        <v>881</v>
      </c>
      <c r="C497">
        <v>29546</v>
      </c>
      <c r="D497" s="1">
        <v>39600</v>
      </c>
      <c r="E497">
        <v>1</v>
      </c>
      <c r="F497">
        <v>32.393999999999998</v>
      </c>
      <c r="G497">
        <v>32.393999999999998</v>
      </c>
    </row>
    <row r="498" spans="1:7" x14ac:dyDescent="0.55000000000000004">
      <c r="A498">
        <v>71938</v>
      </c>
      <c r="B498">
        <v>875</v>
      </c>
      <c r="C498">
        <v>29546</v>
      </c>
      <c r="D498" s="1">
        <v>39600</v>
      </c>
      <c r="E498">
        <v>2</v>
      </c>
      <c r="F498">
        <v>5.3940000000000001</v>
      </c>
      <c r="G498">
        <v>10.788</v>
      </c>
    </row>
    <row r="499" spans="1:7" x14ac:dyDescent="0.55000000000000004">
      <c r="A499">
        <v>71938</v>
      </c>
      <c r="B499">
        <v>800</v>
      </c>
      <c r="C499">
        <v>29546</v>
      </c>
      <c r="D499" s="1">
        <v>39600</v>
      </c>
      <c r="E499">
        <v>3</v>
      </c>
      <c r="F499">
        <v>672.29399999999998</v>
      </c>
      <c r="G499">
        <v>2016.8820000000001</v>
      </c>
    </row>
    <row r="500" spans="1:7" x14ac:dyDescent="0.55000000000000004">
      <c r="A500">
        <v>71946</v>
      </c>
      <c r="B500">
        <v>916</v>
      </c>
      <c r="C500">
        <v>29741</v>
      </c>
      <c r="D500" s="1">
        <v>39600</v>
      </c>
      <c r="E500">
        <v>1</v>
      </c>
      <c r="F500">
        <v>31.584</v>
      </c>
      <c r="G500">
        <v>31.584</v>
      </c>
    </row>
    <row r="501" spans="1:7" x14ac:dyDescent="0.55000000000000004">
      <c r="A501">
        <v>71780</v>
      </c>
      <c r="B501">
        <v>988</v>
      </c>
      <c r="C501">
        <v>30113</v>
      </c>
      <c r="D501" s="1">
        <v>39600</v>
      </c>
      <c r="E501">
        <v>6</v>
      </c>
      <c r="F501">
        <v>112.998</v>
      </c>
      <c r="G501">
        <v>406.7928</v>
      </c>
    </row>
    <row r="502" spans="1:7" x14ac:dyDescent="0.55000000000000004">
      <c r="A502">
        <v>71780</v>
      </c>
      <c r="B502">
        <v>985</v>
      </c>
      <c r="C502">
        <v>30113</v>
      </c>
      <c r="D502" s="1">
        <v>39600</v>
      </c>
      <c r="E502">
        <v>1</v>
      </c>
      <c r="F502">
        <v>112.998</v>
      </c>
      <c r="G502">
        <v>67.7988</v>
      </c>
    </row>
    <row r="503" spans="1:7" x14ac:dyDescent="0.55000000000000004">
      <c r="A503">
        <v>71780</v>
      </c>
      <c r="B503">
        <v>984</v>
      </c>
      <c r="C503">
        <v>30113</v>
      </c>
      <c r="D503" s="1">
        <v>39600</v>
      </c>
      <c r="E503">
        <v>2</v>
      </c>
      <c r="F503">
        <v>112.998</v>
      </c>
      <c r="G503">
        <v>135.5976</v>
      </c>
    </row>
    <row r="504" spans="1:7" x14ac:dyDescent="0.55000000000000004">
      <c r="A504">
        <v>71780</v>
      </c>
      <c r="B504">
        <v>986</v>
      </c>
      <c r="C504">
        <v>30113</v>
      </c>
      <c r="D504" s="1">
        <v>39600</v>
      </c>
      <c r="E504">
        <v>3</v>
      </c>
      <c r="F504">
        <v>112.998</v>
      </c>
      <c r="G504">
        <v>203.3964</v>
      </c>
    </row>
    <row r="505" spans="1:7" x14ac:dyDescent="0.55000000000000004">
      <c r="A505">
        <v>71780</v>
      </c>
      <c r="B505">
        <v>987</v>
      </c>
      <c r="C505">
        <v>30113</v>
      </c>
      <c r="D505" s="1">
        <v>39600</v>
      </c>
      <c r="E505">
        <v>3</v>
      </c>
      <c r="F505">
        <v>112.998</v>
      </c>
      <c r="G505">
        <v>203.3964</v>
      </c>
    </row>
    <row r="506" spans="1:7" x14ac:dyDescent="0.55000000000000004">
      <c r="A506">
        <v>71783</v>
      </c>
      <c r="B506">
        <v>976</v>
      </c>
      <c r="C506">
        <v>29957</v>
      </c>
      <c r="D506" s="1">
        <v>39600</v>
      </c>
      <c r="E506">
        <v>25</v>
      </c>
      <c r="F506">
        <v>850.495</v>
      </c>
      <c r="G506">
        <v>19136.137500000001</v>
      </c>
    </row>
    <row r="507" spans="1:7" x14ac:dyDescent="0.55000000000000004">
      <c r="A507">
        <v>71783</v>
      </c>
      <c r="B507">
        <v>864</v>
      </c>
      <c r="C507">
        <v>29957</v>
      </c>
      <c r="D507" s="1">
        <v>39600</v>
      </c>
      <c r="E507">
        <v>15</v>
      </c>
      <c r="F507">
        <v>34.924999999999997</v>
      </c>
      <c r="G507">
        <v>497.68130000000002</v>
      </c>
    </row>
    <row r="508" spans="1:7" x14ac:dyDescent="0.55000000000000004">
      <c r="A508">
        <v>71783</v>
      </c>
      <c r="B508">
        <v>883</v>
      </c>
      <c r="C508">
        <v>29957</v>
      </c>
      <c r="D508" s="1">
        <v>39600</v>
      </c>
      <c r="E508">
        <v>11</v>
      </c>
      <c r="F508">
        <v>31.3142</v>
      </c>
      <c r="G508">
        <v>337.56709999999998</v>
      </c>
    </row>
    <row r="509" spans="1:7" x14ac:dyDescent="0.55000000000000004">
      <c r="A509">
        <v>71783</v>
      </c>
      <c r="B509">
        <v>974</v>
      </c>
      <c r="C509">
        <v>29957</v>
      </c>
      <c r="D509" s="1">
        <v>39600</v>
      </c>
      <c r="E509">
        <v>13</v>
      </c>
      <c r="F509">
        <v>986.57420000000002</v>
      </c>
      <c r="G509">
        <v>12568.9553</v>
      </c>
    </row>
    <row r="510" spans="1:7" x14ac:dyDescent="0.55000000000000004">
      <c r="A510">
        <v>71783</v>
      </c>
      <c r="B510">
        <v>715</v>
      </c>
      <c r="C510">
        <v>29957</v>
      </c>
      <c r="D510" s="1">
        <v>39600</v>
      </c>
      <c r="E510">
        <v>17</v>
      </c>
      <c r="F510">
        <v>27.494499999999999</v>
      </c>
      <c r="G510">
        <v>444.03620000000001</v>
      </c>
    </row>
    <row r="511" spans="1:7" x14ac:dyDescent="0.55000000000000004">
      <c r="A511">
        <v>71783</v>
      </c>
      <c r="B511">
        <v>712</v>
      </c>
      <c r="C511">
        <v>29957</v>
      </c>
      <c r="D511" s="1">
        <v>39600</v>
      </c>
      <c r="E511">
        <v>11</v>
      </c>
      <c r="F511">
        <v>5.2141999999999999</v>
      </c>
      <c r="G511">
        <v>56.209099999999999</v>
      </c>
    </row>
    <row r="512" spans="1:7" x14ac:dyDescent="0.55000000000000004">
      <c r="A512">
        <v>71783</v>
      </c>
      <c r="B512">
        <v>711</v>
      </c>
      <c r="C512">
        <v>29957</v>
      </c>
      <c r="D512" s="1">
        <v>39600</v>
      </c>
      <c r="E512">
        <v>15</v>
      </c>
      <c r="F512">
        <v>19.244499999999999</v>
      </c>
      <c r="G512">
        <v>274.23410000000001</v>
      </c>
    </row>
    <row r="513" spans="1:7" x14ac:dyDescent="0.55000000000000004">
      <c r="A513">
        <v>71783</v>
      </c>
      <c r="B513">
        <v>708</v>
      </c>
      <c r="C513">
        <v>29957</v>
      </c>
      <c r="D513" s="1">
        <v>39600</v>
      </c>
      <c r="E513">
        <v>11</v>
      </c>
      <c r="F513">
        <v>20.2942</v>
      </c>
      <c r="G513">
        <v>218.7715</v>
      </c>
    </row>
    <row r="514" spans="1:7" x14ac:dyDescent="0.55000000000000004">
      <c r="A514">
        <v>71784</v>
      </c>
      <c r="B514">
        <v>870</v>
      </c>
      <c r="C514">
        <v>29736</v>
      </c>
      <c r="D514" s="1">
        <v>39600</v>
      </c>
      <c r="E514">
        <v>11</v>
      </c>
      <c r="F514">
        <v>2.8942000000000001</v>
      </c>
      <c r="G514">
        <v>31.1995</v>
      </c>
    </row>
    <row r="515" spans="1:7" x14ac:dyDescent="0.55000000000000004">
      <c r="A515">
        <v>71784</v>
      </c>
      <c r="B515">
        <v>965</v>
      </c>
      <c r="C515">
        <v>29736</v>
      </c>
      <c r="D515" s="1">
        <v>39600</v>
      </c>
      <c r="E515">
        <v>11</v>
      </c>
      <c r="F515">
        <v>430.56299999999999</v>
      </c>
      <c r="G515">
        <v>4641.4691000000003</v>
      </c>
    </row>
    <row r="516" spans="1:7" x14ac:dyDescent="0.55000000000000004">
      <c r="A516">
        <v>71784</v>
      </c>
      <c r="B516">
        <v>957</v>
      </c>
      <c r="C516">
        <v>29736</v>
      </c>
      <c r="D516" s="1">
        <v>39600</v>
      </c>
      <c r="E516">
        <v>12</v>
      </c>
      <c r="F516">
        <v>1382.7606000000001</v>
      </c>
      <c r="G516">
        <v>16261.2647</v>
      </c>
    </row>
    <row r="517" spans="1:7" x14ac:dyDescent="0.55000000000000004">
      <c r="A517">
        <v>71784</v>
      </c>
      <c r="B517">
        <v>864</v>
      </c>
      <c r="C517">
        <v>29736</v>
      </c>
      <c r="D517" s="1">
        <v>39600</v>
      </c>
      <c r="E517">
        <v>23</v>
      </c>
      <c r="F517">
        <v>34.924999999999997</v>
      </c>
      <c r="G517">
        <v>763.11130000000003</v>
      </c>
    </row>
    <row r="518" spans="1:7" x14ac:dyDescent="0.55000000000000004">
      <c r="A518">
        <v>71784</v>
      </c>
      <c r="B518">
        <v>708</v>
      </c>
      <c r="C518">
        <v>29736</v>
      </c>
      <c r="D518" s="1">
        <v>39600</v>
      </c>
      <c r="E518">
        <v>12</v>
      </c>
      <c r="F518">
        <v>20.2942</v>
      </c>
      <c r="G518">
        <v>238.65979999999999</v>
      </c>
    </row>
    <row r="519" spans="1:7" x14ac:dyDescent="0.55000000000000004">
      <c r="A519">
        <v>71797</v>
      </c>
      <c r="B519">
        <v>883</v>
      </c>
      <c r="C519">
        <v>29796</v>
      </c>
      <c r="D519" s="1">
        <v>39600</v>
      </c>
      <c r="E519">
        <v>16</v>
      </c>
      <c r="F519">
        <v>29.694500000000001</v>
      </c>
      <c r="G519">
        <v>451.35640000000001</v>
      </c>
    </row>
    <row r="520" spans="1:7" x14ac:dyDescent="0.55000000000000004">
      <c r="A520">
        <v>71797</v>
      </c>
      <c r="B520">
        <v>884</v>
      </c>
      <c r="C520">
        <v>29796</v>
      </c>
      <c r="D520" s="1">
        <v>39600</v>
      </c>
      <c r="E520">
        <v>15</v>
      </c>
      <c r="F520">
        <v>29.694500000000001</v>
      </c>
      <c r="G520">
        <v>423.14659999999998</v>
      </c>
    </row>
    <row r="521" spans="1:7" x14ac:dyDescent="0.55000000000000004">
      <c r="A521">
        <v>71797</v>
      </c>
      <c r="B521">
        <v>864</v>
      </c>
      <c r="C521">
        <v>29796</v>
      </c>
      <c r="D521" s="1">
        <v>39600</v>
      </c>
      <c r="E521">
        <v>23</v>
      </c>
      <c r="F521">
        <v>34.924999999999997</v>
      </c>
      <c r="G521">
        <v>763.11130000000003</v>
      </c>
    </row>
    <row r="522" spans="1:7" x14ac:dyDescent="0.55000000000000004">
      <c r="A522">
        <v>71797</v>
      </c>
      <c r="B522">
        <v>877</v>
      </c>
      <c r="C522">
        <v>29796</v>
      </c>
      <c r="D522" s="1">
        <v>39600</v>
      </c>
      <c r="E522">
        <v>17</v>
      </c>
      <c r="F522">
        <v>4.3724999999999996</v>
      </c>
      <c r="G522">
        <v>70.615899999999996</v>
      </c>
    </row>
    <row r="523" spans="1:7" x14ac:dyDescent="0.55000000000000004">
      <c r="A523">
        <v>71797</v>
      </c>
      <c r="B523">
        <v>870</v>
      </c>
      <c r="C523">
        <v>29796</v>
      </c>
      <c r="D523" s="1">
        <v>39600</v>
      </c>
      <c r="E523">
        <v>11</v>
      </c>
      <c r="F523">
        <v>2.8942000000000001</v>
      </c>
      <c r="G523">
        <v>31.1995</v>
      </c>
    </row>
    <row r="524" spans="1:7" x14ac:dyDescent="0.55000000000000004">
      <c r="A524">
        <v>71797</v>
      </c>
      <c r="B524">
        <v>708</v>
      </c>
      <c r="C524">
        <v>29796</v>
      </c>
      <c r="D524" s="1">
        <v>39600</v>
      </c>
      <c r="E524">
        <v>12</v>
      </c>
      <c r="F524">
        <v>20.2942</v>
      </c>
      <c r="G524">
        <v>238.65979999999999</v>
      </c>
    </row>
    <row r="525" spans="1:7" x14ac:dyDescent="0.55000000000000004">
      <c r="A525">
        <v>71832</v>
      </c>
      <c r="B525">
        <v>985</v>
      </c>
      <c r="C525">
        <v>29922</v>
      </c>
      <c r="D525" s="1">
        <v>39600</v>
      </c>
      <c r="E525">
        <v>2</v>
      </c>
      <c r="F525">
        <v>112.998</v>
      </c>
      <c r="G525">
        <v>135.5976</v>
      </c>
    </row>
    <row r="526" spans="1:7" x14ac:dyDescent="0.55000000000000004">
      <c r="A526">
        <v>71832</v>
      </c>
      <c r="B526">
        <v>867</v>
      </c>
      <c r="C526">
        <v>29922</v>
      </c>
      <c r="D526" s="1">
        <v>39600</v>
      </c>
      <c r="E526">
        <v>13</v>
      </c>
      <c r="F526">
        <v>40.594200000000001</v>
      </c>
      <c r="G526">
        <v>517.17010000000005</v>
      </c>
    </row>
    <row r="527" spans="1:7" x14ac:dyDescent="0.55000000000000004">
      <c r="A527">
        <v>71832</v>
      </c>
      <c r="B527">
        <v>984</v>
      </c>
      <c r="C527">
        <v>29922</v>
      </c>
      <c r="D527" s="1">
        <v>39600</v>
      </c>
      <c r="E527">
        <v>3</v>
      </c>
      <c r="F527">
        <v>112.998</v>
      </c>
      <c r="G527">
        <v>203.3964</v>
      </c>
    </row>
    <row r="528" spans="1:7" x14ac:dyDescent="0.55000000000000004">
      <c r="A528">
        <v>71845</v>
      </c>
      <c r="B528">
        <v>988</v>
      </c>
      <c r="C528">
        <v>29938</v>
      </c>
      <c r="D528" s="1">
        <v>39600</v>
      </c>
      <c r="E528">
        <v>2</v>
      </c>
      <c r="F528">
        <v>112.998</v>
      </c>
      <c r="G528">
        <v>135.5976</v>
      </c>
    </row>
    <row r="529" spans="1:7" x14ac:dyDescent="0.55000000000000004">
      <c r="A529">
        <v>71846</v>
      </c>
      <c r="B529">
        <v>984</v>
      </c>
      <c r="C529">
        <v>30102</v>
      </c>
      <c r="D529" s="1">
        <v>39600</v>
      </c>
      <c r="E529">
        <v>1</v>
      </c>
      <c r="F529">
        <v>112.998</v>
      </c>
      <c r="G529">
        <v>67.7988</v>
      </c>
    </row>
    <row r="530" spans="1:7" x14ac:dyDescent="0.55000000000000004">
      <c r="A530">
        <v>71863</v>
      </c>
      <c r="B530">
        <v>875</v>
      </c>
      <c r="C530">
        <v>29975</v>
      </c>
      <c r="D530" s="1">
        <v>39600</v>
      </c>
      <c r="E530">
        <v>11</v>
      </c>
      <c r="F530">
        <v>5.2141999999999999</v>
      </c>
      <c r="G530">
        <v>56.209099999999999</v>
      </c>
    </row>
    <row r="531" spans="1:7" x14ac:dyDescent="0.55000000000000004">
      <c r="A531">
        <v>71899</v>
      </c>
      <c r="B531">
        <v>988</v>
      </c>
      <c r="C531">
        <v>29568</v>
      </c>
      <c r="D531" s="1">
        <v>39600</v>
      </c>
      <c r="E531">
        <v>1</v>
      </c>
      <c r="F531">
        <v>112.998</v>
      </c>
      <c r="G531">
        <v>67.7988</v>
      </c>
    </row>
    <row r="532" spans="1:7" x14ac:dyDescent="0.55000000000000004">
      <c r="A532">
        <v>71902</v>
      </c>
      <c r="B532">
        <v>987</v>
      </c>
      <c r="C532">
        <v>29929</v>
      </c>
      <c r="D532" s="1">
        <v>39600</v>
      </c>
      <c r="E532">
        <v>1</v>
      </c>
      <c r="F532">
        <v>112.998</v>
      </c>
      <c r="G532">
        <v>67.7988</v>
      </c>
    </row>
    <row r="533" spans="1:7" x14ac:dyDescent="0.55000000000000004">
      <c r="A533">
        <v>71902</v>
      </c>
      <c r="B533">
        <v>984</v>
      </c>
      <c r="C533">
        <v>29929</v>
      </c>
      <c r="D533" s="1">
        <v>39600</v>
      </c>
      <c r="E533">
        <v>4</v>
      </c>
      <c r="F533">
        <v>112.998</v>
      </c>
      <c r="G533">
        <v>271.1952</v>
      </c>
    </row>
    <row r="534" spans="1:7" x14ac:dyDescent="0.55000000000000004">
      <c r="A534">
        <v>71902</v>
      </c>
      <c r="B534">
        <v>988</v>
      </c>
      <c r="C534">
        <v>29929</v>
      </c>
      <c r="D534" s="1">
        <v>39600</v>
      </c>
      <c r="E534">
        <v>3</v>
      </c>
      <c r="F534">
        <v>112.998</v>
      </c>
      <c r="G534">
        <v>203.3964</v>
      </c>
    </row>
    <row r="535" spans="1:7" x14ac:dyDescent="0.55000000000000004">
      <c r="A535">
        <v>71902</v>
      </c>
      <c r="B535">
        <v>985</v>
      </c>
      <c r="C535">
        <v>29929</v>
      </c>
      <c r="D535" s="1">
        <v>39600</v>
      </c>
      <c r="E535">
        <v>5</v>
      </c>
      <c r="F535">
        <v>112.998</v>
      </c>
      <c r="G535">
        <v>338.99400000000003</v>
      </c>
    </row>
    <row r="536" spans="1:7" x14ac:dyDescent="0.55000000000000004">
      <c r="A536">
        <v>71902</v>
      </c>
      <c r="B536">
        <v>986</v>
      </c>
      <c r="C536">
        <v>29929</v>
      </c>
      <c r="D536" s="1">
        <v>39600</v>
      </c>
      <c r="E536">
        <v>1</v>
      </c>
      <c r="F536">
        <v>112.998</v>
      </c>
      <c r="G536">
        <v>67.7988</v>
      </c>
    </row>
    <row r="537" spans="1:7" x14ac:dyDescent="0.55000000000000004">
      <c r="A537">
        <v>71923</v>
      </c>
      <c r="B537">
        <v>875</v>
      </c>
      <c r="C537">
        <v>29781</v>
      </c>
      <c r="D537" s="1">
        <v>39600</v>
      </c>
      <c r="E537">
        <v>14</v>
      </c>
      <c r="F537">
        <v>5.2141999999999999</v>
      </c>
      <c r="G537">
        <v>71.538799999999995</v>
      </c>
    </row>
    <row r="538" spans="1:7" x14ac:dyDescent="0.55000000000000004">
      <c r="A538">
        <v>71935</v>
      </c>
      <c r="B538">
        <v>875</v>
      </c>
      <c r="C538">
        <v>29531</v>
      </c>
      <c r="D538" s="1">
        <v>39600</v>
      </c>
      <c r="E538">
        <v>13</v>
      </c>
      <c r="F538">
        <v>5.2141999999999999</v>
      </c>
      <c r="G538">
        <v>66.428899999999999</v>
      </c>
    </row>
    <row r="539" spans="1:7" x14ac:dyDescent="0.55000000000000004">
      <c r="A539">
        <v>71936</v>
      </c>
      <c r="B539">
        <v>985</v>
      </c>
      <c r="C539">
        <v>30050</v>
      </c>
      <c r="D539" s="1">
        <v>39600</v>
      </c>
      <c r="E539">
        <v>4</v>
      </c>
      <c r="F539">
        <v>112.998</v>
      </c>
      <c r="G539">
        <v>271.1952</v>
      </c>
    </row>
    <row r="540" spans="1:7" x14ac:dyDescent="0.55000000000000004">
      <c r="A540">
        <v>71936</v>
      </c>
      <c r="B540">
        <v>867</v>
      </c>
      <c r="C540">
        <v>30050</v>
      </c>
      <c r="D540" s="1">
        <v>39600</v>
      </c>
      <c r="E540">
        <v>14</v>
      </c>
      <c r="F540">
        <v>40.594200000000001</v>
      </c>
      <c r="G540">
        <v>556.95240000000001</v>
      </c>
    </row>
    <row r="541" spans="1:7" x14ac:dyDescent="0.55000000000000004">
      <c r="A541">
        <v>71936</v>
      </c>
      <c r="B541">
        <v>984</v>
      </c>
      <c r="C541">
        <v>30050</v>
      </c>
      <c r="D541" s="1">
        <v>39600</v>
      </c>
      <c r="E541">
        <v>1</v>
      </c>
      <c r="F541">
        <v>112.998</v>
      </c>
      <c r="G541">
        <v>67.7988</v>
      </c>
    </row>
    <row r="542" spans="1:7" x14ac:dyDescent="0.55000000000000004">
      <c r="A542">
        <v>71936</v>
      </c>
      <c r="B542">
        <v>987</v>
      </c>
      <c r="C542">
        <v>30050</v>
      </c>
      <c r="D542" s="1">
        <v>39600</v>
      </c>
      <c r="E542">
        <v>2</v>
      </c>
      <c r="F542">
        <v>112.998</v>
      </c>
      <c r="G542">
        <v>135.5976</v>
      </c>
    </row>
    <row r="543" spans="1:7" x14ac:dyDescent="0.55000000000000004">
      <c r="A543">
        <v>71936</v>
      </c>
      <c r="B543">
        <v>988</v>
      </c>
      <c r="C543">
        <v>30050</v>
      </c>
      <c r="D543" s="1">
        <v>39600</v>
      </c>
      <c r="E543">
        <v>5</v>
      </c>
      <c r="F543">
        <v>112.998</v>
      </c>
      <c r="G543">
        <v>338.99400000000003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7E10E-3079-4478-AF8D-E72B8B6EB18E}">
  <dimension ref="A1:H543"/>
  <sheetViews>
    <sheetView workbookViewId="0">
      <selection activeCell="C16" sqref="A2:H543"/>
    </sheetView>
  </sheetViews>
  <sheetFormatPr defaultRowHeight="14.4" x14ac:dyDescent="0.55000000000000004"/>
  <cols>
    <col min="1" max="1" width="14" bestFit="1" customWidth="1"/>
    <col min="2" max="2" width="11.68359375" bestFit="1" customWidth="1"/>
    <col min="3" max="3" width="13.1015625" bestFit="1" customWidth="1"/>
    <col min="4" max="4" width="12.5234375" bestFit="1" customWidth="1"/>
    <col min="5" max="5" width="11" bestFit="1" customWidth="1"/>
    <col min="6" max="6" width="10.89453125" bestFit="1" customWidth="1"/>
    <col min="7" max="7" width="18.3125" bestFit="1" customWidth="1"/>
    <col min="8" max="8" width="14.3125" bestFit="1" customWidth="1"/>
  </cols>
  <sheetData>
    <row r="1" spans="1:8" x14ac:dyDescent="0.55000000000000004">
      <c r="A1" t="s">
        <v>0</v>
      </c>
      <c r="B1" t="s">
        <v>1</v>
      </c>
      <c r="C1" t="s">
        <v>2</v>
      </c>
      <c r="D1" t="s">
        <v>3</v>
      </c>
      <c r="E1" t="s">
        <v>4</v>
      </c>
      <c r="F1" t="s">
        <v>5</v>
      </c>
      <c r="G1" t="s">
        <v>6</v>
      </c>
      <c r="H1" t="s">
        <v>7</v>
      </c>
    </row>
    <row r="2" spans="1:8" x14ac:dyDescent="0.55000000000000004">
      <c r="A2">
        <v>71774</v>
      </c>
      <c r="B2">
        <v>836</v>
      </c>
      <c r="C2">
        <v>29847</v>
      </c>
      <c r="D2" s="1">
        <v>39600</v>
      </c>
      <c r="E2">
        <v>1</v>
      </c>
      <c r="F2">
        <v>356.89800000000002</v>
      </c>
      <c r="G2">
        <v>0</v>
      </c>
      <c r="H2">
        <v>356.89800000000002</v>
      </c>
    </row>
    <row r="3" spans="1:8" x14ac:dyDescent="0.55000000000000004">
      <c r="A3">
        <v>71774</v>
      </c>
      <c r="B3">
        <v>822</v>
      </c>
      <c r="C3">
        <v>29847</v>
      </c>
      <c r="D3" s="1">
        <v>39600</v>
      </c>
      <c r="E3">
        <v>1</v>
      </c>
      <c r="F3">
        <v>356.89800000000002</v>
      </c>
      <c r="G3">
        <v>0</v>
      </c>
      <c r="H3">
        <v>356.89800000000002</v>
      </c>
    </row>
    <row r="4" spans="1:8" x14ac:dyDescent="0.55000000000000004">
      <c r="A4">
        <v>71776</v>
      </c>
      <c r="B4">
        <v>907</v>
      </c>
      <c r="C4">
        <v>30072</v>
      </c>
      <c r="D4" s="1">
        <v>39600</v>
      </c>
      <c r="E4">
        <v>1</v>
      </c>
      <c r="F4">
        <v>63.9</v>
      </c>
      <c r="G4">
        <v>0</v>
      </c>
      <c r="H4">
        <v>63.9</v>
      </c>
    </row>
    <row r="5" spans="1:8" x14ac:dyDescent="0.55000000000000004">
      <c r="A5">
        <v>71780</v>
      </c>
      <c r="B5">
        <v>905</v>
      </c>
      <c r="C5">
        <v>30113</v>
      </c>
      <c r="D5" s="1">
        <v>39600</v>
      </c>
      <c r="E5">
        <v>4</v>
      </c>
      <c r="F5">
        <v>218.45400000000001</v>
      </c>
      <c r="G5">
        <v>0</v>
      </c>
      <c r="H5">
        <v>873.81600000000003</v>
      </c>
    </row>
    <row r="6" spans="1:8" x14ac:dyDescent="0.55000000000000004">
      <c r="A6">
        <v>71780</v>
      </c>
      <c r="B6">
        <v>983</v>
      </c>
      <c r="C6">
        <v>30113</v>
      </c>
      <c r="D6" s="1">
        <v>39600</v>
      </c>
      <c r="E6">
        <v>2</v>
      </c>
      <c r="F6">
        <v>461.69400000000002</v>
      </c>
      <c r="G6">
        <v>0</v>
      </c>
      <c r="H6">
        <v>923.38800000000003</v>
      </c>
    </row>
    <row r="7" spans="1:8" x14ac:dyDescent="0.55000000000000004">
      <c r="A7">
        <v>71780</v>
      </c>
      <c r="B7">
        <v>748</v>
      </c>
      <c r="C7">
        <v>30113</v>
      </c>
      <c r="D7" s="1">
        <v>39600</v>
      </c>
      <c r="E7">
        <v>2</v>
      </c>
      <c r="F7">
        <v>818.7</v>
      </c>
      <c r="G7">
        <v>0</v>
      </c>
      <c r="H7">
        <v>1637.4</v>
      </c>
    </row>
    <row r="8" spans="1:8" x14ac:dyDescent="0.55000000000000004">
      <c r="A8">
        <v>71780</v>
      </c>
      <c r="B8">
        <v>990</v>
      </c>
      <c r="C8">
        <v>30113</v>
      </c>
      <c r="D8" s="1">
        <v>39600</v>
      </c>
      <c r="E8">
        <v>1</v>
      </c>
      <c r="F8">
        <v>323.99400000000003</v>
      </c>
      <c r="G8">
        <v>0</v>
      </c>
      <c r="H8">
        <v>323.99400000000003</v>
      </c>
    </row>
    <row r="9" spans="1:8" x14ac:dyDescent="0.55000000000000004">
      <c r="A9">
        <v>71780</v>
      </c>
      <c r="B9">
        <v>926</v>
      </c>
      <c r="C9">
        <v>30113</v>
      </c>
      <c r="D9" s="1">
        <v>39600</v>
      </c>
      <c r="E9">
        <v>1</v>
      </c>
      <c r="F9">
        <v>149.874</v>
      </c>
      <c r="G9">
        <v>0</v>
      </c>
      <c r="H9">
        <v>149.874</v>
      </c>
    </row>
    <row r="10" spans="1:8" x14ac:dyDescent="0.55000000000000004">
      <c r="A10">
        <v>71780</v>
      </c>
      <c r="B10">
        <v>743</v>
      </c>
      <c r="C10">
        <v>30113</v>
      </c>
      <c r="D10" s="1">
        <v>39600</v>
      </c>
      <c r="E10">
        <v>1</v>
      </c>
      <c r="F10">
        <v>809.76</v>
      </c>
      <c r="G10">
        <v>0</v>
      </c>
      <c r="H10">
        <v>809.76</v>
      </c>
    </row>
    <row r="11" spans="1:8" x14ac:dyDescent="0.55000000000000004">
      <c r="A11">
        <v>71780</v>
      </c>
      <c r="B11">
        <v>782</v>
      </c>
      <c r="C11">
        <v>30113</v>
      </c>
      <c r="D11" s="1">
        <v>39600</v>
      </c>
      <c r="E11">
        <v>4</v>
      </c>
      <c r="F11">
        <v>1376.9939999999999</v>
      </c>
      <c r="G11">
        <v>0</v>
      </c>
      <c r="H11">
        <v>5507.9759999999997</v>
      </c>
    </row>
    <row r="12" spans="1:8" x14ac:dyDescent="0.55000000000000004">
      <c r="A12">
        <v>71780</v>
      </c>
      <c r="B12">
        <v>918</v>
      </c>
      <c r="C12">
        <v>30113</v>
      </c>
      <c r="D12" s="1">
        <v>39600</v>
      </c>
      <c r="E12">
        <v>2</v>
      </c>
      <c r="F12">
        <v>158.43</v>
      </c>
      <c r="G12">
        <v>0</v>
      </c>
      <c r="H12">
        <v>316.86</v>
      </c>
    </row>
    <row r="13" spans="1:8" x14ac:dyDescent="0.55000000000000004">
      <c r="A13">
        <v>71780</v>
      </c>
      <c r="B13">
        <v>780</v>
      </c>
      <c r="C13">
        <v>30113</v>
      </c>
      <c r="D13" s="1">
        <v>39600</v>
      </c>
      <c r="E13">
        <v>4</v>
      </c>
      <c r="F13">
        <v>1391.9939999999999</v>
      </c>
      <c r="G13">
        <v>0</v>
      </c>
      <c r="H13">
        <v>5567.9759999999997</v>
      </c>
    </row>
    <row r="14" spans="1:8" x14ac:dyDescent="0.55000000000000004">
      <c r="A14">
        <v>71780</v>
      </c>
      <c r="B14">
        <v>937</v>
      </c>
      <c r="C14">
        <v>30113</v>
      </c>
      <c r="D14" s="1">
        <v>39600</v>
      </c>
      <c r="E14">
        <v>1</v>
      </c>
      <c r="F14">
        <v>48.594000000000001</v>
      </c>
      <c r="G14">
        <v>0</v>
      </c>
      <c r="H14">
        <v>48.594000000000001</v>
      </c>
    </row>
    <row r="15" spans="1:8" x14ac:dyDescent="0.55000000000000004">
      <c r="A15">
        <v>71780</v>
      </c>
      <c r="B15">
        <v>867</v>
      </c>
      <c r="C15">
        <v>30113</v>
      </c>
      <c r="D15" s="1">
        <v>39600</v>
      </c>
      <c r="E15">
        <v>6</v>
      </c>
      <c r="F15">
        <v>41.994</v>
      </c>
      <c r="G15">
        <v>0</v>
      </c>
      <c r="H15">
        <v>251.964</v>
      </c>
    </row>
    <row r="16" spans="1:8" x14ac:dyDescent="0.55000000000000004">
      <c r="A16">
        <v>71780</v>
      </c>
      <c r="B16">
        <v>989</v>
      </c>
      <c r="C16">
        <v>30113</v>
      </c>
      <c r="D16" s="1">
        <v>39600</v>
      </c>
      <c r="E16">
        <v>2</v>
      </c>
      <c r="F16">
        <v>323.99400000000003</v>
      </c>
      <c r="G16">
        <v>0</v>
      </c>
      <c r="H16">
        <v>647.98800000000006</v>
      </c>
    </row>
    <row r="17" spans="1:8" x14ac:dyDescent="0.55000000000000004">
      <c r="A17">
        <v>71780</v>
      </c>
      <c r="B17">
        <v>991</v>
      </c>
      <c r="C17">
        <v>30113</v>
      </c>
      <c r="D17" s="1">
        <v>39600</v>
      </c>
      <c r="E17">
        <v>3</v>
      </c>
      <c r="F17">
        <v>323.99400000000003</v>
      </c>
      <c r="G17">
        <v>0</v>
      </c>
      <c r="H17">
        <v>971.98199999999997</v>
      </c>
    </row>
    <row r="18" spans="1:8" x14ac:dyDescent="0.55000000000000004">
      <c r="A18">
        <v>71780</v>
      </c>
      <c r="B18">
        <v>992</v>
      </c>
      <c r="C18">
        <v>30113</v>
      </c>
      <c r="D18" s="1">
        <v>39600</v>
      </c>
      <c r="E18">
        <v>1</v>
      </c>
      <c r="F18">
        <v>323.99400000000003</v>
      </c>
      <c r="G18">
        <v>0</v>
      </c>
      <c r="H18">
        <v>323.99400000000003</v>
      </c>
    </row>
    <row r="19" spans="1:8" x14ac:dyDescent="0.55000000000000004">
      <c r="A19">
        <v>71780</v>
      </c>
      <c r="B19">
        <v>993</v>
      </c>
      <c r="C19">
        <v>30113</v>
      </c>
      <c r="D19" s="1">
        <v>39600</v>
      </c>
      <c r="E19">
        <v>2</v>
      </c>
      <c r="F19">
        <v>323.99400000000003</v>
      </c>
      <c r="G19">
        <v>0</v>
      </c>
      <c r="H19">
        <v>647.98800000000006</v>
      </c>
    </row>
    <row r="20" spans="1:8" x14ac:dyDescent="0.55000000000000004">
      <c r="A20">
        <v>71780</v>
      </c>
      <c r="B20">
        <v>981</v>
      </c>
      <c r="C20">
        <v>30113</v>
      </c>
      <c r="D20" s="1">
        <v>39600</v>
      </c>
      <c r="E20">
        <v>2</v>
      </c>
      <c r="F20">
        <v>461.69400000000002</v>
      </c>
      <c r="G20">
        <v>0</v>
      </c>
      <c r="H20">
        <v>923.38800000000003</v>
      </c>
    </row>
    <row r="21" spans="1:8" x14ac:dyDescent="0.55000000000000004">
      <c r="A21">
        <v>71780</v>
      </c>
      <c r="B21">
        <v>982</v>
      </c>
      <c r="C21">
        <v>30113</v>
      </c>
      <c r="D21" s="1">
        <v>39600</v>
      </c>
      <c r="E21">
        <v>3</v>
      </c>
      <c r="F21">
        <v>461.69400000000002</v>
      </c>
      <c r="G21">
        <v>0</v>
      </c>
      <c r="H21">
        <v>1385.0820000000001</v>
      </c>
    </row>
    <row r="22" spans="1:8" x14ac:dyDescent="0.55000000000000004">
      <c r="A22">
        <v>71780</v>
      </c>
      <c r="B22">
        <v>783</v>
      </c>
      <c r="C22">
        <v>30113</v>
      </c>
      <c r="D22" s="1">
        <v>39600</v>
      </c>
      <c r="E22">
        <v>5</v>
      </c>
      <c r="F22">
        <v>1376.9939999999999</v>
      </c>
      <c r="G22">
        <v>0</v>
      </c>
      <c r="H22">
        <v>6884.97</v>
      </c>
    </row>
    <row r="23" spans="1:8" x14ac:dyDescent="0.55000000000000004">
      <c r="A23">
        <v>71780</v>
      </c>
      <c r="B23">
        <v>809</v>
      </c>
      <c r="C23">
        <v>30113</v>
      </c>
      <c r="D23" s="1">
        <v>39600</v>
      </c>
      <c r="E23">
        <v>3</v>
      </c>
      <c r="F23">
        <v>37.152000000000001</v>
      </c>
      <c r="G23">
        <v>0</v>
      </c>
      <c r="H23">
        <v>111.456</v>
      </c>
    </row>
    <row r="24" spans="1:8" x14ac:dyDescent="0.55000000000000004">
      <c r="A24">
        <v>71780</v>
      </c>
      <c r="B24">
        <v>810</v>
      </c>
      <c r="C24">
        <v>30113</v>
      </c>
      <c r="D24" s="1">
        <v>39600</v>
      </c>
      <c r="E24">
        <v>1</v>
      </c>
      <c r="F24">
        <v>72.162000000000006</v>
      </c>
      <c r="G24">
        <v>0</v>
      </c>
      <c r="H24">
        <v>72.162000000000006</v>
      </c>
    </row>
    <row r="25" spans="1:8" x14ac:dyDescent="0.55000000000000004">
      <c r="A25">
        <v>71780</v>
      </c>
      <c r="B25">
        <v>935</v>
      </c>
      <c r="C25">
        <v>30113</v>
      </c>
      <c r="D25" s="1">
        <v>39600</v>
      </c>
      <c r="E25">
        <v>2</v>
      </c>
      <c r="F25">
        <v>24.294</v>
      </c>
      <c r="G25">
        <v>0</v>
      </c>
      <c r="H25">
        <v>48.588000000000001</v>
      </c>
    </row>
    <row r="26" spans="1:8" x14ac:dyDescent="0.55000000000000004">
      <c r="A26">
        <v>71780</v>
      </c>
      <c r="B26">
        <v>925</v>
      </c>
      <c r="C26">
        <v>30113</v>
      </c>
      <c r="D26" s="1">
        <v>39600</v>
      </c>
      <c r="E26">
        <v>1</v>
      </c>
      <c r="F26">
        <v>149.874</v>
      </c>
      <c r="G26">
        <v>0</v>
      </c>
      <c r="H26">
        <v>149.874</v>
      </c>
    </row>
    <row r="27" spans="1:8" x14ac:dyDescent="0.55000000000000004">
      <c r="A27">
        <v>71780</v>
      </c>
      <c r="B27">
        <v>869</v>
      </c>
      <c r="C27">
        <v>30113</v>
      </c>
      <c r="D27" s="1">
        <v>39600</v>
      </c>
      <c r="E27">
        <v>7</v>
      </c>
      <c r="F27">
        <v>41.994</v>
      </c>
      <c r="G27">
        <v>0</v>
      </c>
      <c r="H27">
        <v>293.95800000000003</v>
      </c>
    </row>
    <row r="28" spans="1:8" x14ac:dyDescent="0.55000000000000004">
      <c r="A28">
        <v>71780</v>
      </c>
      <c r="B28">
        <v>880</v>
      </c>
      <c r="C28">
        <v>30113</v>
      </c>
      <c r="D28" s="1">
        <v>39600</v>
      </c>
      <c r="E28">
        <v>1</v>
      </c>
      <c r="F28">
        <v>32.994</v>
      </c>
      <c r="G28">
        <v>0</v>
      </c>
      <c r="H28">
        <v>32.994</v>
      </c>
    </row>
    <row r="29" spans="1:8" x14ac:dyDescent="0.55000000000000004">
      <c r="A29">
        <v>71782</v>
      </c>
      <c r="B29">
        <v>714</v>
      </c>
      <c r="C29">
        <v>29485</v>
      </c>
      <c r="D29" s="1">
        <v>39600</v>
      </c>
      <c r="E29">
        <v>3</v>
      </c>
      <c r="F29">
        <v>29.994</v>
      </c>
      <c r="G29">
        <v>0</v>
      </c>
      <c r="H29">
        <v>89.981999999999999</v>
      </c>
    </row>
    <row r="30" spans="1:8" x14ac:dyDescent="0.55000000000000004">
      <c r="A30">
        <v>71782</v>
      </c>
      <c r="B30">
        <v>956</v>
      </c>
      <c r="C30">
        <v>29485</v>
      </c>
      <c r="D30" s="1">
        <v>39600</v>
      </c>
      <c r="E30">
        <v>3</v>
      </c>
      <c r="F30">
        <v>1430.442</v>
      </c>
      <c r="G30">
        <v>0</v>
      </c>
      <c r="H30">
        <v>4291.326</v>
      </c>
    </row>
    <row r="31" spans="1:8" x14ac:dyDescent="0.55000000000000004">
      <c r="A31">
        <v>71782</v>
      </c>
      <c r="B31">
        <v>954</v>
      </c>
      <c r="C31">
        <v>29485</v>
      </c>
      <c r="D31" s="1">
        <v>39600</v>
      </c>
      <c r="E31">
        <v>1</v>
      </c>
      <c r="F31">
        <v>1430.442</v>
      </c>
      <c r="G31">
        <v>0</v>
      </c>
      <c r="H31">
        <v>1430.442</v>
      </c>
    </row>
    <row r="32" spans="1:8" x14ac:dyDescent="0.55000000000000004">
      <c r="A32">
        <v>71782</v>
      </c>
      <c r="B32">
        <v>712</v>
      </c>
      <c r="C32">
        <v>29485</v>
      </c>
      <c r="D32" s="1">
        <v>39600</v>
      </c>
      <c r="E32">
        <v>10</v>
      </c>
      <c r="F32">
        <v>5.3940000000000001</v>
      </c>
      <c r="G32">
        <v>0</v>
      </c>
      <c r="H32">
        <v>53.94</v>
      </c>
    </row>
    <row r="33" spans="1:8" x14ac:dyDescent="0.55000000000000004">
      <c r="A33">
        <v>71782</v>
      </c>
      <c r="B33">
        <v>877</v>
      </c>
      <c r="C33">
        <v>29485</v>
      </c>
      <c r="D33" s="1">
        <v>39600</v>
      </c>
      <c r="E33">
        <v>10</v>
      </c>
      <c r="F33">
        <v>4.7699999999999996</v>
      </c>
      <c r="G33">
        <v>0</v>
      </c>
      <c r="H33">
        <v>47.7</v>
      </c>
    </row>
    <row r="34" spans="1:8" x14ac:dyDescent="0.55000000000000004">
      <c r="A34">
        <v>71782</v>
      </c>
      <c r="B34">
        <v>996</v>
      </c>
      <c r="C34">
        <v>29485</v>
      </c>
      <c r="D34" s="1">
        <v>39600</v>
      </c>
      <c r="E34">
        <v>4</v>
      </c>
      <c r="F34">
        <v>72.894000000000005</v>
      </c>
      <c r="G34">
        <v>0</v>
      </c>
      <c r="H34">
        <v>291.57600000000002</v>
      </c>
    </row>
    <row r="35" spans="1:8" x14ac:dyDescent="0.55000000000000004">
      <c r="A35">
        <v>71782</v>
      </c>
      <c r="B35">
        <v>864</v>
      </c>
      <c r="C35">
        <v>29485</v>
      </c>
      <c r="D35" s="1">
        <v>39600</v>
      </c>
      <c r="E35">
        <v>6</v>
      </c>
      <c r="F35">
        <v>38.1</v>
      </c>
      <c r="G35">
        <v>0</v>
      </c>
      <c r="H35">
        <v>228.6</v>
      </c>
    </row>
    <row r="36" spans="1:8" x14ac:dyDescent="0.55000000000000004">
      <c r="A36">
        <v>71782</v>
      </c>
      <c r="B36">
        <v>876</v>
      </c>
      <c r="C36">
        <v>29485</v>
      </c>
      <c r="D36" s="1">
        <v>39600</v>
      </c>
      <c r="E36">
        <v>3</v>
      </c>
      <c r="F36">
        <v>72</v>
      </c>
      <c r="G36">
        <v>0</v>
      </c>
      <c r="H36">
        <v>216</v>
      </c>
    </row>
    <row r="37" spans="1:8" x14ac:dyDescent="0.55000000000000004">
      <c r="A37">
        <v>71782</v>
      </c>
      <c r="B37">
        <v>959</v>
      </c>
      <c r="C37">
        <v>29485</v>
      </c>
      <c r="D37" s="1">
        <v>39600</v>
      </c>
      <c r="E37">
        <v>4</v>
      </c>
      <c r="F37">
        <v>445.41</v>
      </c>
      <c r="G37">
        <v>0</v>
      </c>
      <c r="H37">
        <v>1781.64</v>
      </c>
    </row>
    <row r="38" spans="1:8" x14ac:dyDescent="0.55000000000000004">
      <c r="A38">
        <v>71782</v>
      </c>
      <c r="B38">
        <v>971</v>
      </c>
      <c r="C38">
        <v>29485</v>
      </c>
      <c r="D38" s="1">
        <v>39600</v>
      </c>
      <c r="E38">
        <v>4</v>
      </c>
      <c r="F38">
        <v>728.91</v>
      </c>
      <c r="G38">
        <v>0</v>
      </c>
      <c r="H38">
        <v>2915.64</v>
      </c>
    </row>
    <row r="39" spans="1:8" x14ac:dyDescent="0.55000000000000004">
      <c r="A39">
        <v>71782</v>
      </c>
      <c r="B39">
        <v>870</v>
      </c>
      <c r="C39">
        <v>29485</v>
      </c>
      <c r="D39" s="1">
        <v>39600</v>
      </c>
      <c r="E39">
        <v>6</v>
      </c>
      <c r="F39">
        <v>2.9940000000000002</v>
      </c>
      <c r="G39">
        <v>0</v>
      </c>
      <c r="H39">
        <v>17.963999999999999</v>
      </c>
    </row>
    <row r="40" spans="1:8" x14ac:dyDescent="0.55000000000000004">
      <c r="A40">
        <v>71782</v>
      </c>
      <c r="B40">
        <v>978</v>
      </c>
      <c r="C40">
        <v>29485</v>
      </c>
      <c r="D40" s="1">
        <v>39600</v>
      </c>
      <c r="E40">
        <v>1</v>
      </c>
      <c r="F40">
        <v>445.41</v>
      </c>
      <c r="G40">
        <v>0</v>
      </c>
      <c r="H40">
        <v>445.41</v>
      </c>
    </row>
    <row r="41" spans="1:8" x14ac:dyDescent="0.55000000000000004">
      <c r="A41">
        <v>71782</v>
      </c>
      <c r="B41">
        <v>955</v>
      </c>
      <c r="C41">
        <v>29485</v>
      </c>
      <c r="D41" s="1">
        <v>39600</v>
      </c>
      <c r="E41">
        <v>1</v>
      </c>
      <c r="F41">
        <v>1430.442</v>
      </c>
      <c r="G41">
        <v>0</v>
      </c>
      <c r="H41">
        <v>1430.442</v>
      </c>
    </row>
    <row r="42" spans="1:8" x14ac:dyDescent="0.55000000000000004">
      <c r="A42">
        <v>71782</v>
      </c>
      <c r="B42">
        <v>948</v>
      </c>
      <c r="C42">
        <v>29485</v>
      </c>
      <c r="D42" s="1">
        <v>39600</v>
      </c>
      <c r="E42">
        <v>1</v>
      </c>
      <c r="F42">
        <v>63.9</v>
      </c>
      <c r="G42">
        <v>0</v>
      </c>
      <c r="H42">
        <v>63.9</v>
      </c>
    </row>
    <row r="43" spans="1:8" x14ac:dyDescent="0.55000000000000004">
      <c r="A43">
        <v>71782</v>
      </c>
      <c r="B43">
        <v>994</v>
      </c>
      <c r="C43">
        <v>29485</v>
      </c>
      <c r="D43" s="1">
        <v>39600</v>
      </c>
      <c r="E43">
        <v>1</v>
      </c>
      <c r="F43">
        <v>32.393999999999998</v>
      </c>
      <c r="G43">
        <v>0</v>
      </c>
      <c r="H43">
        <v>32.393999999999998</v>
      </c>
    </row>
    <row r="44" spans="1:8" x14ac:dyDescent="0.55000000000000004">
      <c r="A44">
        <v>71782</v>
      </c>
      <c r="B44">
        <v>970</v>
      </c>
      <c r="C44">
        <v>29485</v>
      </c>
      <c r="D44" s="1">
        <v>39600</v>
      </c>
      <c r="E44">
        <v>1</v>
      </c>
      <c r="F44">
        <v>728.91</v>
      </c>
      <c r="G44">
        <v>0</v>
      </c>
      <c r="H44">
        <v>728.91</v>
      </c>
    </row>
    <row r="45" spans="1:8" x14ac:dyDescent="0.55000000000000004">
      <c r="A45">
        <v>71782</v>
      </c>
      <c r="B45">
        <v>966</v>
      </c>
      <c r="C45">
        <v>29485</v>
      </c>
      <c r="D45" s="1">
        <v>39600</v>
      </c>
      <c r="E45">
        <v>2</v>
      </c>
      <c r="F45">
        <v>1430.442</v>
      </c>
      <c r="G45">
        <v>0</v>
      </c>
      <c r="H45">
        <v>2860.884</v>
      </c>
    </row>
    <row r="46" spans="1:8" x14ac:dyDescent="0.55000000000000004">
      <c r="A46">
        <v>71782</v>
      </c>
      <c r="B46">
        <v>884</v>
      </c>
      <c r="C46">
        <v>29485</v>
      </c>
      <c r="D46" s="1">
        <v>39600</v>
      </c>
      <c r="E46">
        <v>4</v>
      </c>
      <c r="F46">
        <v>32.393999999999998</v>
      </c>
      <c r="G46">
        <v>0</v>
      </c>
      <c r="H46">
        <v>129.57599999999999</v>
      </c>
    </row>
    <row r="47" spans="1:8" x14ac:dyDescent="0.55000000000000004">
      <c r="A47">
        <v>71782</v>
      </c>
      <c r="B47">
        <v>885</v>
      </c>
      <c r="C47">
        <v>29485</v>
      </c>
      <c r="D47" s="1">
        <v>39600</v>
      </c>
      <c r="E47">
        <v>2</v>
      </c>
      <c r="F47">
        <v>602.346</v>
      </c>
      <c r="G47">
        <v>0</v>
      </c>
      <c r="H47">
        <v>1204.692</v>
      </c>
    </row>
    <row r="48" spans="1:8" x14ac:dyDescent="0.55000000000000004">
      <c r="A48">
        <v>71782</v>
      </c>
      <c r="B48">
        <v>715</v>
      </c>
      <c r="C48">
        <v>29485</v>
      </c>
      <c r="D48" s="1">
        <v>39600</v>
      </c>
      <c r="E48">
        <v>8</v>
      </c>
      <c r="F48">
        <v>29.994</v>
      </c>
      <c r="G48">
        <v>0</v>
      </c>
      <c r="H48">
        <v>239.952</v>
      </c>
    </row>
    <row r="49" spans="1:8" x14ac:dyDescent="0.55000000000000004">
      <c r="A49">
        <v>71782</v>
      </c>
      <c r="B49">
        <v>894</v>
      </c>
      <c r="C49">
        <v>29485</v>
      </c>
      <c r="D49" s="1">
        <v>39600</v>
      </c>
      <c r="E49">
        <v>3</v>
      </c>
      <c r="F49">
        <v>72.876000000000005</v>
      </c>
      <c r="G49">
        <v>0</v>
      </c>
      <c r="H49">
        <v>218.62799999999999</v>
      </c>
    </row>
    <row r="50" spans="1:8" x14ac:dyDescent="0.55000000000000004">
      <c r="A50">
        <v>71782</v>
      </c>
      <c r="B50">
        <v>957</v>
      </c>
      <c r="C50">
        <v>29485</v>
      </c>
      <c r="D50" s="1">
        <v>39600</v>
      </c>
      <c r="E50">
        <v>1</v>
      </c>
      <c r="F50">
        <v>1430.442</v>
      </c>
      <c r="G50">
        <v>0</v>
      </c>
      <c r="H50">
        <v>1430.442</v>
      </c>
    </row>
    <row r="51" spans="1:8" x14ac:dyDescent="0.55000000000000004">
      <c r="A51">
        <v>71782</v>
      </c>
      <c r="B51">
        <v>967</v>
      </c>
      <c r="C51">
        <v>29485</v>
      </c>
      <c r="D51" s="1">
        <v>39600</v>
      </c>
      <c r="E51">
        <v>2</v>
      </c>
      <c r="F51">
        <v>1430.442</v>
      </c>
      <c r="G51">
        <v>0</v>
      </c>
      <c r="H51">
        <v>2860.884</v>
      </c>
    </row>
    <row r="52" spans="1:8" x14ac:dyDescent="0.55000000000000004">
      <c r="A52">
        <v>71782</v>
      </c>
      <c r="B52">
        <v>708</v>
      </c>
      <c r="C52">
        <v>29485</v>
      </c>
      <c r="D52" s="1">
        <v>39600</v>
      </c>
      <c r="E52">
        <v>7</v>
      </c>
      <c r="F52">
        <v>20.994</v>
      </c>
      <c r="G52">
        <v>0</v>
      </c>
      <c r="H52">
        <v>146.958</v>
      </c>
    </row>
    <row r="53" spans="1:8" x14ac:dyDescent="0.55000000000000004">
      <c r="A53">
        <v>71782</v>
      </c>
      <c r="B53">
        <v>961</v>
      </c>
      <c r="C53">
        <v>29485</v>
      </c>
      <c r="D53" s="1">
        <v>39600</v>
      </c>
      <c r="E53">
        <v>3</v>
      </c>
      <c r="F53">
        <v>445.41</v>
      </c>
      <c r="G53">
        <v>0</v>
      </c>
      <c r="H53">
        <v>1336.23</v>
      </c>
    </row>
    <row r="54" spans="1:8" x14ac:dyDescent="0.55000000000000004">
      <c r="A54">
        <v>71782</v>
      </c>
      <c r="B54">
        <v>979</v>
      </c>
      <c r="C54">
        <v>29485</v>
      </c>
      <c r="D54" s="1">
        <v>39600</v>
      </c>
      <c r="E54">
        <v>2</v>
      </c>
      <c r="F54">
        <v>445.41</v>
      </c>
      <c r="G54">
        <v>0</v>
      </c>
      <c r="H54">
        <v>890.82</v>
      </c>
    </row>
    <row r="55" spans="1:8" x14ac:dyDescent="0.55000000000000004">
      <c r="A55">
        <v>71782</v>
      </c>
      <c r="B55">
        <v>958</v>
      </c>
      <c r="C55">
        <v>29485</v>
      </c>
      <c r="D55" s="1">
        <v>39600</v>
      </c>
      <c r="E55">
        <v>2</v>
      </c>
      <c r="F55">
        <v>445.41</v>
      </c>
      <c r="G55">
        <v>0</v>
      </c>
      <c r="H55">
        <v>890.82</v>
      </c>
    </row>
    <row r="56" spans="1:8" x14ac:dyDescent="0.55000000000000004">
      <c r="A56">
        <v>71782</v>
      </c>
      <c r="B56">
        <v>963</v>
      </c>
      <c r="C56">
        <v>29485</v>
      </c>
      <c r="D56" s="1">
        <v>39600</v>
      </c>
      <c r="E56">
        <v>1</v>
      </c>
      <c r="F56">
        <v>445.41</v>
      </c>
      <c r="G56">
        <v>0</v>
      </c>
      <c r="H56">
        <v>445.41</v>
      </c>
    </row>
    <row r="57" spans="1:8" x14ac:dyDescent="0.55000000000000004">
      <c r="A57">
        <v>71782</v>
      </c>
      <c r="B57">
        <v>953</v>
      </c>
      <c r="C57">
        <v>29485</v>
      </c>
      <c r="D57" s="1">
        <v>39600</v>
      </c>
      <c r="E57">
        <v>1</v>
      </c>
      <c r="F57">
        <v>728.91</v>
      </c>
      <c r="G57">
        <v>0</v>
      </c>
      <c r="H57">
        <v>728.91</v>
      </c>
    </row>
    <row r="58" spans="1:8" x14ac:dyDescent="0.55000000000000004">
      <c r="A58">
        <v>71782</v>
      </c>
      <c r="B58">
        <v>968</v>
      </c>
      <c r="C58">
        <v>29485</v>
      </c>
      <c r="D58" s="1">
        <v>39600</v>
      </c>
      <c r="E58">
        <v>2</v>
      </c>
      <c r="F58">
        <v>1430.442</v>
      </c>
      <c r="G58">
        <v>0</v>
      </c>
      <c r="H58">
        <v>2860.884</v>
      </c>
    </row>
    <row r="59" spans="1:8" x14ac:dyDescent="0.55000000000000004">
      <c r="A59">
        <v>71782</v>
      </c>
      <c r="B59">
        <v>951</v>
      </c>
      <c r="C59">
        <v>29485</v>
      </c>
      <c r="D59" s="1">
        <v>39600</v>
      </c>
      <c r="E59">
        <v>2</v>
      </c>
      <c r="F59">
        <v>242.994</v>
      </c>
      <c r="G59">
        <v>0</v>
      </c>
      <c r="H59">
        <v>485.988</v>
      </c>
    </row>
    <row r="60" spans="1:8" x14ac:dyDescent="0.55000000000000004">
      <c r="A60">
        <v>71782</v>
      </c>
      <c r="B60">
        <v>945</v>
      </c>
      <c r="C60">
        <v>29485</v>
      </c>
      <c r="D60" s="1">
        <v>39600</v>
      </c>
      <c r="E60">
        <v>2</v>
      </c>
      <c r="F60">
        <v>54.893999999999998</v>
      </c>
      <c r="G60">
        <v>0</v>
      </c>
      <c r="H60">
        <v>109.788</v>
      </c>
    </row>
    <row r="61" spans="1:8" x14ac:dyDescent="0.55000000000000004">
      <c r="A61">
        <v>71782</v>
      </c>
      <c r="B61">
        <v>916</v>
      </c>
      <c r="C61">
        <v>29485</v>
      </c>
      <c r="D61" s="1">
        <v>39600</v>
      </c>
      <c r="E61">
        <v>1</v>
      </c>
      <c r="F61">
        <v>31.584</v>
      </c>
      <c r="G61">
        <v>0</v>
      </c>
      <c r="H61">
        <v>31.584</v>
      </c>
    </row>
    <row r="62" spans="1:8" x14ac:dyDescent="0.55000000000000004">
      <c r="A62">
        <v>71782</v>
      </c>
      <c r="B62">
        <v>886</v>
      </c>
      <c r="C62">
        <v>29485</v>
      </c>
      <c r="D62" s="1">
        <v>39600</v>
      </c>
      <c r="E62">
        <v>1</v>
      </c>
      <c r="F62">
        <v>200.05199999999999</v>
      </c>
      <c r="G62">
        <v>0</v>
      </c>
      <c r="H62">
        <v>200.05199999999999</v>
      </c>
    </row>
    <row r="63" spans="1:8" x14ac:dyDescent="0.55000000000000004">
      <c r="A63">
        <v>71782</v>
      </c>
      <c r="B63">
        <v>892</v>
      </c>
      <c r="C63">
        <v>29485</v>
      </c>
      <c r="D63" s="1">
        <v>39600</v>
      </c>
      <c r="E63">
        <v>1</v>
      </c>
      <c r="F63">
        <v>602.346</v>
      </c>
      <c r="G63">
        <v>0</v>
      </c>
      <c r="H63">
        <v>602.346</v>
      </c>
    </row>
    <row r="64" spans="1:8" x14ac:dyDescent="0.55000000000000004">
      <c r="A64">
        <v>71782</v>
      </c>
      <c r="B64">
        <v>893</v>
      </c>
      <c r="C64">
        <v>29485</v>
      </c>
      <c r="D64" s="1">
        <v>39600</v>
      </c>
      <c r="E64">
        <v>1</v>
      </c>
      <c r="F64">
        <v>602.346</v>
      </c>
      <c r="G64">
        <v>0</v>
      </c>
      <c r="H64">
        <v>602.346</v>
      </c>
    </row>
    <row r="65" spans="1:8" x14ac:dyDescent="0.55000000000000004">
      <c r="A65">
        <v>71782</v>
      </c>
      <c r="B65">
        <v>881</v>
      </c>
      <c r="C65">
        <v>29485</v>
      </c>
      <c r="D65" s="1">
        <v>39600</v>
      </c>
      <c r="E65">
        <v>6</v>
      </c>
      <c r="F65">
        <v>32.393999999999998</v>
      </c>
      <c r="G65">
        <v>0</v>
      </c>
      <c r="H65">
        <v>194.364</v>
      </c>
    </row>
    <row r="66" spans="1:8" x14ac:dyDescent="0.55000000000000004">
      <c r="A66">
        <v>71782</v>
      </c>
      <c r="B66">
        <v>883</v>
      </c>
      <c r="C66">
        <v>29485</v>
      </c>
      <c r="D66" s="1">
        <v>39600</v>
      </c>
      <c r="E66">
        <v>4</v>
      </c>
      <c r="F66">
        <v>32.393999999999998</v>
      </c>
      <c r="G66">
        <v>0</v>
      </c>
      <c r="H66">
        <v>129.57599999999999</v>
      </c>
    </row>
    <row r="67" spans="1:8" x14ac:dyDescent="0.55000000000000004">
      <c r="A67">
        <v>71782</v>
      </c>
      <c r="B67">
        <v>859</v>
      </c>
      <c r="C67">
        <v>29485</v>
      </c>
      <c r="D67" s="1">
        <v>39600</v>
      </c>
      <c r="E67">
        <v>1</v>
      </c>
      <c r="F67">
        <v>14.694000000000001</v>
      </c>
      <c r="G67">
        <v>0</v>
      </c>
      <c r="H67">
        <v>14.694000000000001</v>
      </c>
    </row>
    <row r="68" spans="1:8" x14ac:dyDescent="0.55000000000000004">
      <c r="A68">
        <v>71782</v>
      </c>
      <c r="B68">
        <v>865</v>
      </c>
      <c r="C68">
        <v>29485</v>
      </c>
      <c r="D68" s="1">
        <v>39600</v>
      </c>
      <c r="E68">
        <v>4</v>
      </c>
      <c r="F68">
        <v>38.1</v>
      </c>
      <c r="G68">
        <v>0</v>
      </c>
      <c r="H68">
        <v>152.4</v>
      </c>
    </row>
    <row r="69" spans="1:8" x14ac:dyDescent="0.55000000000000004">
      <c r="A69">
        <v>71782</v>
      </c>
      <c r="B69">
        <v>880</v>
      </c>
      <c r="C69">
        <v>29485</v>
      </c>
      <c r="D69" s="1">
        <v>39600</v>
      </c>
      <c r="E69">
        <v>9</v>
      </c>
      <c r="F69">
        <v>32.994</v>
      </c>
      <c r="G69">
        <v>0</v>
      </c>
      <c r="H69">
        <v>296.94600000000003</v>
      </c>
    </row>
    <row r="70" spans="1:8" x14ac:dyDescent="0.55000000000000004">
      <c r="A70">
        <v>71782</v>
      </c>
      <c r="B70">
        <v>711</v>
      </c>
      <c r="C70">
        <v>29485</v>
      </c>
      <c r="D70" s="1">
        <v>39600</v>
      </c>
      <c r="E70">
        <v>6</v>
      </c>
      <c r="F70">
        <v>20.994</v>
      </c>
      <c r="G70">
        <v>0</v>
      </c>
      <c r="H70">
        <v>125.964</v>
      </c>
    </row>
    <row r="71" spans="1:8" x14ac:dyDescent="0.55000000000000004">
      <c r="A71">
        <v>71782</v>
      </c>
      <c r="B71">
        <v>707</v>
      </c>
      <c r="C71">
        <v>29485</v>
      </c>
      <c r="D71" s="1">
        <v>39600</v>
      </c>
      <c r="E71">
        <v>3</v>
      </c>
      <c r="F71">
        <v>20.994</v>
      </c>
      <c r="G71">
        <v>0</v>
      </c>
      <c r="H71">
        <v>62.981999999999999</v>
      </c>
    </row>
    <row r="72" spans="1:8" x14ac:dyDescent="0.55000000000000004">
      <c r="A72">
        <v>71783</v>
      </c>
      <c r="B72">
        <v>738</v>
      </c>
      <c r="C72">
        <v>29957</v>
      </c>
      <c r="D72" s="1">
        <v>39600</v>
      </c>
      <c r="E72">
        <v>4</v>
      </c>
      <c r="F72">
        <v>202.33199999999999</v>
      </c>
      <c r="G72">
        <v>0</v>
      </c>
      <c r="H72">
        <v>809.32799999999997</v>
      </c>
    </row>
    <row r="73" spans="1:8" x14ac:dyDescent="0.55000000000000004">
      <c r="A73">
        <v>71783</v>
      </c>
      <c r="B73">
        <v>939</v>
      </c>
      <c r="C73">
        <v>29957</v>
      </c>
      <c r="D73" s="1">
        <v>39600</v>
      </c>
      <c r="E73">
        <v>6</v>
      </c>
      <c r="F73">
        <v>37.253999999999998</v>
      </c>
      <c r="G73">
        <v>0</v>
      </c>
      <c r="H73">
        <v>223.524</v>
      </c>
    </row>
    <row r="74" spans="1:8" x14ac:dyDescent="0.55000000000000004">
      <c r="A74">
        <v>71783</v>
      </c>
      <c r="B74">
        <v>793</v>
      </c>
      <c r="C74">
        <v>29957</v>
      </c>
      <c r="D74" s="1">
        <v>39600</v>
      </c>
      <c r="E74">
        <v>3</v>
      </c>
      <c r="F74">
        <v>1466.01</v>
      </c>
      <c r="G74">
        <v>0</v>
      </c>
      <c r="H74">
        <v>4398.03</v>
      </c>
    </row>
    <row r="75" spans="1:8" x14ac:dyDescent="0.55000000000000004">
      <c r="A75">
        <v>71783</v>
      </c>
      <c r="B75">
        <v>977</v>
      </c>
      <c r="C75">
        <v>29957</v>
      </c>
      <c r="D75" s="1">
        <v>39600</v>
      </c>
      <c r="E75">
        <v>4</v>
      </c>
      <c r="F75">
        <v>323.99400000000003</v>
      </c>
      <c r="G75">
        <v>0</v>
      </c>
      <c r="H75">
        <v>1295.9760000000001</v>
      </c>
    </row>
    <row r="76" spans="1:8" x14ac:dyDescent="0.55000000000000004">
      <c r="A76">
        <v>71783</v>
      </c>
      <c r="B76">
        <v>880</v>
      </c>
      <c r="C76">
        <v>29957</v>
      </c>
      <c r="D76" s="1">
        <v>39600</v>
      </c>
      <c r="E76">
        <v>9</v>
      </c>
      <c r="F76">
        <v>32.994</v>
      </c>
      <c r="G76">
        <v>0</v>
      </c>
      <c r="H76">
        <v>296.94600000000003</v>
      </c>
    </row>
    <row r="77" spans="1:8" x14ac:dyDescent="0.55000000000000004">
      <c r="A77">
        <v>71783</v>
      </c>
      <c r="B77">
        <v>859</v>
      </c>
      <c r="C77">
        <v>29957</v>
      </c>
      <c r="D77" s="1">
        <v>39600</v>
      </c>
      <c r="E77">
        <v>7</v>
      </c>
      <c r="F77">
        <v>14.694000000000001</v>
      </c>
      <c r="G77">
        <v>0</v>
      </c>
      <c r="H77">
        <v>102.858</v>
      </c>
    </row>
    <row r="78" spans="1:8" x14ac:dyDescent="0.55000000000000004">
      <c r="A78">
        <v>71783</v>
      </c>
      <c r="B78">
        <v>714</v>
      </c>
      <c r="C78">
        <v>29957</v>
      </c>
      <c r="D78" s="1">
        <v>39600</v>
      </c>
      <c r="E78">
        <v>6</v>
      </c>
      <c r="F78">
        <v>29.994</v>
      </c>
      <c r="G78">
        <v>0</v>
      </c>
      <c r="H78">
        <v>179.964</v>
      </c>
    </row>
    <row r="79" spans="1:8" x14ac:dyDescent="0.55000000000000004">
      <c r="A79">
        <v>71783</v>
      </c>
      <c r="B79">
        <v>877</v>
      </c>
      <c r="C79">
        <v>29957</v>
      </c>
      <c r="D79" s="1">
        <v>39600</v>
      </c>
      <c r="E79">
        <v>8</v>
      </c>
      <c r="F79">
        <v>4.7699999999999996</v>
      </c>
      <c r="G79">
        <v>0</v>
      </c>
      <c r="H79">
        <v>38.159999999999997</v>
      </c>
    </row>
    <row r="80" spans="1:8" x14ac:dyDescent="0.55000000000000004">
      <c r="A80">
        <v>71783</v>
      </c>
      <c r="B80">
        <v>813</v>
      </c>
      <c r="C80">
        <v>29957</v>
      </c>
      <c r="D80" s="1">
        <v>39600</v>
      </c>
      <c r="E80">
        <v>1</v>
      </c>
      <c r="F80">
        <v>72.162000000000006</v>
      </c>
      <c r="G80">
        <v>0</v>
      </c>
      <c r="H80">
        <v>72.162000000000006</v>
      </c>
    </row>
    <row r="81" spans="1:8" x14ac:dyDescent="0.55000000000000004">
      <c r="A81">
        <v>71783</v>
      </c>
      <c r="B81">
        <v>881</v>
      </c>
      <c r="C81">
        <v>29957</v>
      </c>
      <c r="D81" s="1">
        <v>39600</v>
      </c>
      <c r="E81">
        <v>6</v>
      </c>
      <c r="F81">
        <v>32.393999999999998</v>
      </c>
      <c r="G81">
        <v>0</v>
      </c>
      <c r="H81">
        <v>194.364</v>
      </c>
    </row>
    <row r="82" spans="1:8" x14ac:dyDescent="0.55000000000000004">
      <c r="A82">
        <v>71783</v>
      </c>
      <c r="B82">
        <v>873</v>
      </c>
      <c r="C82">
        <v>29957</v>
      </c>
      <c r="D82" s="1">
        <v>39600</v>
      </c>
      <c r="E82">
        <v>6</v>
      </c>
      <c r="F82">
        <v>1.3740000000000001</v>
      </c>
      <c r="G82">
        <v>0</v>
      </c>
      <c r="H82">
        <v>8.2439999999999998</v>
      </c>
    </row>
    <row r="83" spans="1:8" x14ac:dyDescent="0.55000000000000004">
      <c r="A83">
        <v>71783</v>
      </c>
      <c r="B83">
        <v>870</v>
      </c>
      <c r="C83">
        <v>29957</v>
      </c>
      <c r="D83" s="1">
        <v>39600</v>
      </c>
      <c r="E83">
        <v>10</v>
      </c>
      <c r="F83">
        <v>2.9940000000000002</v>
      </c>
      <c r="G83">
        <v>0</v>
      </c>
      <c r="H83">
        <v>29.94</v>
      </c>
    </row>
    <row r="84" spans="1:8" x14ac:dyDescent="0.55000000000000004">
      <c r="A84">
        <v>71783</v>
      </c>
      <c r="B84">
        <v>822</v>
      </c>
      <c r="C84">
        <v>29957</v>
      </c>
      <c r="D84" s="1">
        <v>39600</v>
      </c>
      <c r="E84">
        <v>1</v>
      </c>
      <c r="F84">
        <v>356.89800000000002</v>
      </c>
      <c r="G84">
        <v>0</v>
      </c>
      <c r="H84">
        <v>356.89800000000002</v>
      </c>
    </row>
    <row r="85" spans="1:8" x14ac:dyDescent="0.55000000000000004">
      <c r="A85">
        <v>71783</v>
      </c>
      <c r="B85">
        <v>799</v>
      </c>
      <c r="C85">
        <v>29957</v>
      </c>
      <c r="D85" s="1">
        <v>39600</v>
      </c>
      <c r="E85">
        <v>1</v>
      </c>
      <c r="F85">
        <v>672.29399999999998</v>
      </c>
      <c r="G85">
        <v>0</v>
      </c>
      <c r="H85">
        <v>672.29399999999998</v>
      </c>
    </row>
    <row r="86" spans="1:8" x14ac:dyDescent="0.55000000000000004">
      <c r="A86">
        <v>71783</v>
      </c>
      <c r="B86">
        <v>858</v>
      </c>
      <c r="C86">
        <v>29957</v>
      </c>
      <c r="D86" s="1">
        <v>39600</v>
      </c>
      <c r="E86">
        <v>2</v>
      </c>
      <c r="F86">
        <v>14.694000000000001</v>
      </c>
      <c r="G86">
        <v>0</v>
      </c>
      <c r="H86">
        <v>29.388000000000002</v>
      </c>
    </row>
    <row r="87" spans="1:8" x14ac:dyDescent="0.55000000000000004">
      <c r="A87">
        <v>71783</v>
      </c>
      <c r="B87">
        <v>860</v>
      </c>
      <c r="C87">
        <v>29957</v>
      </c>
      <c r="D87" s="1">
        <v>39600</v>
      </c>
      <c r="E87">
        <v>9</v>
      </c>
      <c r="F87">
        <v>14.694000000000001</v>
      </c>
      <c r="G87">
        <v>0</v>
      </c>
      <c r="H87">
        <v>132.24600000000001</v>
      </c>
    </row>
    <row r="88" spans="1:8" x14ac:dyDescent="0.55000000000000004">
      <c r="A88">
        <v>71783</v>
      </c>
      <c r="B88">
        <v>938</v>
      </c>
      <c r="C88">
        <v>29957</v>
      </c>
      <c r="D88" s="1">
        <v>39600</v>
      </c>
      <c r="E88">
        <v>3</v>
      </c>
      <c r="F88">
        <v>24.294</v>
      </c>
      <c r="G88">
        <v>0</v>
      </c>
      <c r="H88">
        <v>72.882000000000005</v>
      </c>
    </row>
    <row r="89" spans="1:8" x14ac:dyDescent="0.55000000000000004">
      <c r="A89">
        <v>71783</v>
      </c>
      <c r="B89">
        <v>722</v>
      </c>
      <c r="C89">
        <v>29957</v>
      </c>
      <c r="D89" s="1">
        <v>39600</v>
      </c>
      <c r="E89">
        <v>6</v>
      </c>
      <c r="F89">
        <v>202.33199999999999</v>
      </c>
      <c r="G89">
        <v>0</v>
      </c>
      <c r="H89">
        <v>1213.992</v>
      </c>
    </row>
    <row r="90" spans="1:8" x14ac:dyDescent="0.55000000000000004">
      <c r="A90">
        <v>71783</v>
      </c>
      <c r="B90">
        <v>884</v>
      </c>
      <c r="C90">
        <v>29957</v>
      </c>
      <c r="D90" s="1">
        <v>39600</v>
      </c>
      <c r="E90">
        <v>9</v>
      </c>
      <c r="F90">
        <v>32.393999999999998</v>
      </c>
      <c r="G90">
        <v>0</v>
      </c>
      <c r="H90">
        <v>291.54599999999999</v>
      </c>
    </row>
    <row r="91" spans="1:8" x14ac:dyDescent="0.55000000000000004">
      <c r="A91">
        <v>71783</v>
      </c>
      <c r="B91">
        <v>998</v>
      </c>
      <c r="C91">
        <v>29957</v>
      </c>
      <c r="D91" s="1">
        <v>39600</v>
      </c>
      <c r="E91">
        <v>7</v>
      </c>
      <c r="F91">
        <v>323.99400000000003</v>
      </c>
      <c r="G91">
        <v>0</v>
      </c>
      <c r="H91">
        <v>2267.9580000000001</v>
      </c>
    </row>
    <row r="92" spans="1:8" x14ac:dyDescent="0.55000000000000004">
      <c r="A92">
        <v>71783</v>
      </c>
      <c r="B92">
        <v>999</v>
      </c>
      <c r="C92">
        <v>29957</v>
      </c>
      <c r="D92" s="1">
        <v>39600</v>
      </c>
      <c r="E92">
        <v>5</v>
      </c>
      <c r="F92">
        <v>323.99400000000003</v>
      </c>
      <c r="G92">
        <v>0</v>
      </c>
      <c r="H92">
        <v>1619.97</v>
      </c>
    </row>
    <row r="93" spans="1:8" x14ac:dyDescent="0.55000000000000004">
      <c r="A93">
        <v>71783</v>
      </c>
      <c r="B93">
        <v>797</v>
      </c>
      <c r="C93">
        <v>29957</v>
      </c>
      <c r="D93" s="1">
        <v>39600</v>
      </c>
      <c r="E93">
        <v>4</v>
      </c>
      <c r="F93">
        <v>672.29399999999998</v>
      </c>
      <c r="G93">
        <v>0</v>
      </c>
      <c r="H93">
        <v>2689.1759999999999</v>
      </c>
    </row>
    <row r="94" spans="1:8" x14ac:dyDescent="0.55000000000000004">
      <c r="A94">
        <v>71783</v>
      </c>
      <c r="B94">
        <v>798</v>
      </c>
      <c r="C94">
        <v>29957</v>
      </c>
      <c r="D94" s="1">
        <v>39600</v>
      </c>
      <c r="E94">
        <v>1</v>
      </c>
      <c r="F94">
        <v>672.29399999999998</v>
      </c>
      <c r="G94">
        <v>0</v>
      </c>
      <c r="H94">
        <v>672.29399999999998</v>
      </c>
    </row>
    <row r="95" spans="1:8" x14ac:dyDescent="0.55000000000000004">
      <c r="A95">
        <v>71783</v>
      </c>
      <c r="B95">
        <v>801</v>
      </c>
      <c r="C95">
        <v>29957</v>
      </c>
      <c r="D95" s="1">
        <v>39600</v>
      </c>
      <c r="E95">
        <v>1</v>
      </c>
      <c r="F95">
        <v>672.29399999999998</v>
      </c>
      <c r="G95">
        <v>0</v>
      </c>
      <c r="H95">
        <v>672.29399999999998</v>
      </c>
    </row>
    <row r="96" spans="1:8" x14ac:dyDescent="0.55000000000000004">
      <c r="A96">
        <v>71783</v>
      </c>
      <c r="B96">
        <v>973</v>
      </c>
      <c r="C96">
        <v>29957</v>
      </c>
      <c r="D96" s="1">
        <v>39600</v>
      </c>
      <c r="E96">
        <v>5</v>
      </c>
      <c r="F96">
        <v>1020.5940000000001</v>
      </c>
      <c r="G96">
        <v>0</v>
      </c>
      <c r="H96">
        <v>5102.97</v>
      </c>
    </row>
    <row r="97" spans="1:8" x14ac:dyDescent="0.55000000000000004">
      <c r="A97">
        <v>71783</v>
      </c>
      <c r="B97">
        <v>940</v>
      </c>
      <c r="C97">
        <v>29957</v>
      </c>
      <c r="D97" s="1">
        <v>39600</v>
      </c>
      <c r="E97">
        <v>4</v>
      </c>
      <c r="F97">
        <v>48.594000000000001</v>
      </c>
      <c r="G97">
        <v>0</v>
      </c>
      <c r="H97">
        <v>194.376</v>
      </c>
    </row>
    <row r="98" spans="1:8" x14ac:dyDescent="0.55000000000000004">
      <c r="A98">
        <v>71783</v>
      </c>
      <c r="B98">
        <v>835</v>
      </c>
      <c r="C98">
        <v>29957</v>
      </c>
      <c r="D98" s="1">
        <v>39600</v>
      </c>
      <c r="E98">
        <v>3</v>
      </c>
      <c r="F98">
        <v>356.89800000000002</v>
      </c>
      <c r="G98">
        <v>0</v>
      </c>
      <c r="H98">
        <v>1070.694</v>
      </c>
    </row>
    <row r="99" spans="1:8" x14ac:dyDescent="0.55000000000000004">
      <c r="A99">
        <v>71783</v>
      </c>
      <c r="B99">
        <v>836</v>
      </c>
      <c r="C99">
        <v>29957</v>
      </c>
      <c r="D99" s="1">
        <v>39600</v>
      </c>
      <c r="E99">
        <v>4</v>
      </c>
      <c r="F99">
        <v>356.89800000000002</v>
      </c>
      <c r="G99">
        <v>0</v>
      </c>
      <c r="H99">
        <v>1427.5920000000001</v>
      </c>
    </row>
    <row r="100" spans="1:8" x14ac:dyDescent="0.55000000000000004">
      <c r="A100">
        <v>71783</v>
      </c>
      <c r="B100">
        <v>838</v>
      </c>
      <c r="C100">
        <v>29957</v>
      </c>
      <c r="D100" s="1">
        <v>39600</v>
      </c>
      <c r="E100">
        <v>4</v>
      </c>
      <c r="F100">
        <v>858.9</v>
      </c>
      <c r="G100">
        <v>0</v>
      </c>
      <c r="H100">
        <v>3435.6</v>
      </c>
    </row>
    <row r="101" spans="1:8" x14ac:dyDescent="0.55000000000000004">
      <c r="A101">
        <v>71783</v>
      </c>
      <c r="B101">
        <v>718</v>
      </c>
      <c r="C101">
        <v>29957</v>
      </c>
      <c r="D101" s="1">
        <v>39600</v>
      </c>
      <c r="E101">
        <v>2</v>
      </c>
      <c r="F101">
        <v>858.9</v>
      </c>
      <c r="G101">
        <v>0</v>
      </c>
      <c r="H101">
        <v>1717.8</v>
      </c>
    </row>
    <row r="102" spans="1:8" x14ac:dyDescent="0.55000000000000004">
      <c r="A102">
        <v>71783</v>
      </c>
      <c r="B102">
        <v>716</v>
      </c>
      <c r="C102">
        <v>29957</v>
      </c>
      <c r="D102" s="1">
        <v>39600</v>
      </c>
      <c r="E102">
        <v>4</v>
      </c>
      <c r="F102">
        <v>29.994</v>
      </c>
      <c r="G102">
        <v>0</v>
      </c>
      <c r="H102">
        <v>119.976</v>
      </c>
    </row>
    <row r="103" spans="1:8" x14ac:dyDescent="0.55000000000000004">
      <c r="A103">
        <v>71783</v>
      </c>
      <c r="B103">
        <v>875</v>
      </c>
      <c r="C103">
        <v>29957</v>
      </c>
      <c r="D103" s="1">
        <v>39600</v>
      </c>
      <c r="E103">
        <v>1</v>
      </c>
      <c r="F103">
        <v>5.3940000000000001</v>
      </c>
      <c r="G103">
        <v>0</v>
      </c>
      <c r="H103">
        <v>5.3940000000000001</v>
      </c>
    </row>
    <row r="104" spans="1:8" x14ac:dyDescent="0.55000000000000004">
      <c r="A104">
        <v>71783</v>
      </c>
      <c r="B104">
        <v>865</v>
      </c>
      <c r="C104">
        <v>29957</v>
      </c>
      <c r="D104" s="1">
        <v>39600</v>
      </c>
      <c r="E104">
        <v>10</v>
      </c>
      <c r="F104">
        <v>38.1</v>
      </c>
      <c r="G104">
        <v>0</v>
      </c>
      <c r="H104">
        <v>381</v>
      </c>
    </row>
    <row r="105" spans="1:8" x14ac:dyDescent="0.55000000000000004">
      <c r="A105">
        <v>71783</v>
      </c>
      <c r="B105">
        <v>876</v>
      </c>
      <c r="C105">
        <v>29957</v>
      </c>
      <c r="D105" s="1">
        <v>39600</v>
      </c>
      <c r="E105">
        <v>2</v>
      </c>
      <c r="F105">
        <v>72</v>
      </c>
      <c r="G105">
        <v>0</v>
      </c>
      <c r="H105">
        <v>144</v>
      </c>
    </row>
    <row r="106" spans="1:8" x14ac:dyDescent="0.55000000000000004">
      <c r="A106">
        <v>71783</v>
      </c>
      <c r="B106">
        <v>707</v>
      </c>
      <c r="C106">
        <v>29957</v>
      </c>
      <c r="D106" s="1">
        <v>39600</v>
      </c>
      <c r="E106">
        <v>10</v>
      </c>
      <c r="F106">
        <v>20.994</v>
      </c>
      <c r="G106">
        <v>0</v>
      </c>
      <c r="H106">
        <v>209.94</v>
      </c>
    </row>
    <row r="107" spans="1:8" x14ac:dyDescent="0.55000000000000004">
      <c r="A107">
        <v>71784</v>
      </c>
      <c r="B107">
        <v>711</v>
      </c>
      <c r="C107">
        <v>29736</v>
      </c>
      <c r="D107" s="1">
        <v>39600</v>
      </c>
      <c r="E107">
        <v>2</v>
      </c>
      <c r="F107">
        <v>20.994</v>
      </c>
      <c r="G107">
        <v>0</v>
      </c>
      <c r="H107">
        <v>41.988</v>
      </c>
    </row>
    <row r="108" spans="1:8" x14ac:dyDescent="0.55000000000000004">
      <c r="A108">
        <v>71784</v>
      </c>
      <c r="B108">
        <v>885</v>
      </c>
      <c r="C108">
        <v>29736</v>
      </c>
      <c r="D108" s="1">
        <v>39600</v>
      </c>
      <c r="E108">
        <v>8</v>
      </c>
      <c r="F108">
        <v>602.346</v>
      </c>
      <c r="G108">
        <v>0</v>
      </c>
      <c r="H108">
        <v>4818.768</v>
      </c>
    </row>
    <row r="109" spans="1:8" x14ac:dyDescent="0.55000000000000004">
      <c r="A109">
        <v>71784</v>
      </c>
      <c r="B109">
        <v>954</v>
      </c>
      <c r="C109">
        <v>29736</v>
      </c>
      <c r="D109" s="1">
        <v>39600</v>
      </c>
      <c r="E109">
        <v>2</v>
      </c>
      <c r="F109">
        <v>1430.442</v>
      </c>
      <c r="G109">
        <v>0</v>
      </c>
      <c r="H109">
        <v>2860.884</v>
      </c>
    </row>
    <row r="110" spans="1:8" x14ac:dyDescent="0.55000000000000004">
      <c r="A110">
        <v>71784</v>
      </c>
      <c r="B110">
        <v>865</v>
      </c>
      <c r="C110">
        <v>29736</v>
      </c>
      <c r="D110" s="1">
        <v>39600</v>
      </c>
      <c r="E110">
        <v>8</v>
      </c>
      <c r="F110">
        <v>38.1</v>
      </c>
      <c r="G110">
        <v>0</v>
      </c>
      <c r="H110">
        <v>304.8</v>
      </c>
    </row>
    <row r="111" spans="1:8" x14ac:dyDescent="0.55000000000000004">
      <c r="A111">
        <v>71784</v>
      </c>
      <c r="B111">
        <v>970</v>
      </c>
      <c r="C111">
        <v>29736</v>
      </c>
      <c r="D111" s="1">
        <v>39600</v>
      </c>
      <c r="E111">
        <v>4</v>
      </c>
      <c r="F111">
        <v>728.91</v>
      </c>
      <c r="G111">
        <v>0</v>
      </c>
      <c r="H111">
        <v>2915.64</v>
      </c>
    </row>
    <row r="112" spans="1:8" x14ac:dyDescent="0.55000000000000004">
      <c r="A112">
        <v>71784</v>
      </c>
      <c r="B112">
        <v>959</v>
      </c>
      <c r="C112">
        <v>29736</v>
      </c>
      <c r="D112" s="1">
        <v>39600</v>
      </c>
      <c r="E112">
        <v>1</v>
      </c>
      <c r="F112">
        <v>445.41</v>
      </c>
      <c r="G112">
        <v>0</v>
      </c>
      <c r="H112">
        <v>445.41</v>
      </c>
    </row>
    <row r="113" spans="1:8" x14ac:dyDescent="0.55000000000000004">
      <c r="A113">
        <v>71784</v>
      </c>
      <c r="B113">
        <v>714</v>
      </c>
      <c r="C113">
        <v>29736</v>
      </c>
      <c r="D113" s="1">
        <v>39600</v>
      </c>
      <c r="E113">
        <v>9</v>
      </c>
      <c r="F113">
        <v>29.994</v>
      </c>
      <c r="G113">
        <v>0</v>
      </c>
      <c r="H113">
        <v>269.94600000000003</v>
      </c>
    </row>
    <row r="114" spans="1:8" x14ac:dyDescent="0.55000000000000004">
      <c r="A114">
        <v>71784</v>
      </c>
      <c r="B114">
        <v>712</v>
      </c>
      <c r="C114">
        <v>29736</v>
      </c>
      <c r="D114" s="1">
        <v>39600</v>
      </c>
      <c r="E114">
        <v>10</v>
      </c>
      <c r="F114">
        <v>5.3940000000000001</v>
      </c>
      <c r="G114">
        <v>0</v>
      </c>
      <c r="H114">
        <v>53.94</v>
      </c>
    </row>
    <row r="115" spans="1:8" x14ac:dyDescent="0.55000000000000004">
      <c r="A115">
        <v>71784</v>
      </c>
      <c r="B115">
        <v>972</v>
      </c>
      <c r="C115">
        <v>29736</v>
      </c>
      <c r="D115" s="1">
        <v>39600</v>
      </c>
      <c r="E115">
        <v>4</v>
      </c>
      <c r="F115">
        <v>728.91</v>
      </c>
      <c r="G115">
        <v>0</v>
      </c>
      <c r="H115">
        <v>2915.64</v>
      </c>
    </row>
    <row r="116" spans="1:8" x14ac:dyDescent="0.55000000000000004">
      <c r="A116">
        <v>71784</v>
      </c>
      <c r="B116">
        <v>877</v>
      </c>
      <c r="C116">
        <v>29736</v>
      </c>
      <c r="D116" s="1">
        <v>39600</v>
      </c>
      <c r="E116">
        <v>8</v>
      </c>
      <c r="F116">
        <v>4.7699999999999996</v>
      </c>
      <c r="G116">
        <v>0</v>
      </c>
      <c r="H116">
        <v>38.159999999999997</v>
      </c>
    </row>
    <row r="117" spans="1:8" x14ac:dyDescent="0.55000000000000004">
      <c r="A117">
        <v>71784</v>
      </c>
      <c r="B117">
        <v>716</v>
      </c>
      <c r="C117">
        <v>29736</v>
      </c>
      <c r="D117" s="1">
        <v>39600</v>
      </c>
      <c r="E117">
        <v>5</v>
      </c>
      <c r="F117">
        <v>29.994</v>
      </c>
      <c r="G117">
        <v>0</v>
      </c>
      <c r="H117">
        <v>149.97</v>
      </c>
    </row>
    <row r="118" spans="1:8" x14ac:dyDescent="0.55000000000000004">
      <c r="A118">
        <v>71784</v>
      </c>
      <c r="B118">
        <v>958</v>
      </c>
      <c r="C118">
        <v>29736</v>
      </c>
      <c r="D118" s="1">
        <v>39600</v>
      </c>
      <c r="E118">
        <v>6</v>
      </c>
      <c r="F118">
        <v>445.41</v>
      </c>
      <c r="G118">
        <v>0</v>
      </c>
      <c r="H118">
        <v>2672.46</v>
      </c>
    </row>
    <row r="119" spans="1:8" x14ac:dyDescent="0.55000000000000004">
      <c r="A119">
        <v>71784</v>
      </c>
      <c r="B119">
        <v>876</v>
      </c>
      <c r="C119">
        <v>29736</v>
      </c>
      <c r="D119" s="1">
        <v>39600</v>
      </c>
      <c r="E119">
        <v>6</v>
      </c>
      <c r="F119">
        <v>72</v>
      </c>
      <c r="G119">
        <v>0</v>
      </c>
      <c r="H119">
        <v>432</v>
      </c>
    </row>
    <row r="120" spans="1:8" x14ac:dyDescent="0.55000000000000004">
      <c r="A120">
        <v>71784</v>
      </c>
      <c r="B120">
        <v>899</v>
      </c>
      <c r="C120">
        <v>29736</v>
      </c>
      <c r="D120" s="1">
        <v>39600</v>
      </c>
      <c r="E120">
        <v>2</v>
      </c>
      <c r="F120">
        <v>200.05199999999999</v>
      </c>
      <c r="G120">
        <v>0</v>
      </c>
      <c r="H120">
        <v>400.10399999999998</v>
      </c>
    </row>
    <row r="121" spans="1:8" x14ac:dyDescent="0.55000000000000004">
      <c r="A121">
        <v>71784</v>
      </c>
      <c r="B121">
        <v>858</v>
      </c>
      <c r="C121">
        <v>29736</v>
      </c>
      <c r="D121" s="1">
        <v>39600</v>
      </c>
      <c r="E121">
        <v>6</v>
      </c>
      <c r="F121">
        <v>14.694000000000001</v>
      </c>
      <c r="G121">
        <v>0</v>
      </c>
      <c r="H121">
        <v>88.164000000000001</v>
      </c>
    </row>
    <row r="122" spans="1:8" x14ac:dyDescent="0.55000000000000004">
      <c r="A122">
        <v>71784</v>
      </c>
      <c r="B122">
        <v>889</v>
      </c>
      <c r="C122">
        <v>29736</v>
      </c>
      <c r="D122" s="1">
        <v>39600</v>
      </c>
      <c r="E122">
        <v>4</v>
      </c>
      <c r="F122">
        <v>602.346</v>
      </c>
      <c r="G122">
        <v>0</v>
      </c>
      <c r="H122">
        <v>2409.384</v>
      </c>
    </row>
    <row r="123" spans="1:8" x14ac:dyDescent="0.55000000000000004">
      <c r="A123">
        <v>71784</v>
      </c>
      <c r="B123">
        <v>962</v>
      </c>
      <c r="C123">
        <v>29736</v>
      </c>
      <c r="D123" s="1">
        <v>39600</v>
      </c>
      <c r="E123">
        <v>7</v>
      </c>
      <c r="F123">
        <v>445.41</v>
      </c>
      <c r="G123">
        <v>0</v>
      </c>
      <c r="H123">
        <v>3117.87</v>
      </c>
    </row>
    <row r="124" spans="1:8" x14ac:dyDescent="0.55000000000000004">
      <c r="A124">
        <v>71784</v>
      </c>
      <c r="B124">
        <v>895</v>
      </c>
      <c r="C124">
        <v>29736</v>
      </c>
      <c r="D124" s="1">
        <v>39600</v>
      </c>
      <c r="E124">
        <v>2</v>
      </c>
      <c r="F124">
        <v>200.05199999999999</v>
      </c>
      <c r="G124">
        <v>0</v>
      </c>
      <c r="H124">
        <v>400.10399999999998</v>
      </c>
    </row>
    <row r="125" spans="1:8" x14ac:dyDescent="0.55000000000000004">
      <c r="A125">
        <v>71784</v>
      </c>
      <c r="B125">
        <v>979</v>
      </c>
      <c r="C125">
        <v>29736</v>
      </c>
      <c r="D125" s="1">
        <v>39600</v>
      </c>
      <c r="E125">
        <v>8</v>
      </c>
      <c r="F125">
        <v>445.41</v>
      </c>
      <c r="G125">
        <v>0</v>
      </c>
      <c r="H125">
        <v>3563.28</v>
      </c>
    </row>
    <row r="126" spans="1:8" x14ac:dyDescent="0.55000000000000004">
      <c r="A126">
        <v>71784</v>
      </c>
      <c r="B126">
        <v>961</v>
      </c>
      <c r="C126">
        <v>29736</v>
      </c>
      <c r="D126" s="1">
        <v>39600</v>
      </c>
      <c r="E126">
        <v>3</v>
      </c>
      <c r="F126">
        <v>445.41</v>
      </c>
      <c r="G126">
        <v>0</v>
      </c>
      <c r="H126">
        <v>1336.23</v>
      </c>
    </row>
    <row r="127" spans="1:8" x14ac:dyDescent="0.55000000000000004">
      <c r="A127">
        <v>71784</v>
      </c>
      <c r="B127">
        <v>963</v>
      </c>
      <c r="C127">
        <v>29736</v>
      </c>
      <c r="D127" s="1">
        <v>39600</v>
      </c>
      <c r="E127">
        <v>5</v>
      </c>
      <c r="F127">
        <v>445.41</v>
      </c>
      <c r="G127">
        <v>0</v>
      </c>
      <c r="H127">
        <v>2227.0500000000002</v>
      </c>
    </row>
    <row r="128" spans="1:8" x14ac:dyDescent="0.55000000000000004">
      <c r="A128">
        <v>71784</v>
      </c>
      <c r="B128">
        <v>953</v>
      </c>
      <c r="C128">
        <v>29736</v>
      </c>
      <c r="D128" s="1">
        <v>39600</v>
      </c>
      <c r="E128">
        <v>3</v>
      </c>
      <c r="F128">
        <v>728.91</v>
      </c>
      <c r="G128">
        <v>0</v>
      </c>
      <c r="H128">
        <v>2186.73</v>
      </c>
    </row>
    <row r="129" spans="1:8" x14ac:dyDescent="0.55000000000000004">
      <c r="A129">
        <v>71784</v>
      </c>
      <c r="B129">
        <v>966</v>
      </c>
      <c r="C129">
        <v>29736</v>
      </c>
      <c r="D129" s="1">
        <v>39600</v>
      </c>
      <c r="E129">
        <v>4</v>
      </c>
      <c r="F129">
        <v>1430.442</v>
      </c>
      <c r="G129">
        <v>0</v>
      </c>
      <c r="H129">
        <v>5721.768</v>
      </c>
    </row>
    <row r="130" spans="1:8" x14ac:dyDescent="0.55000000000000004">
      <c r="A130">
        <v>71784</v>
      </c>
      <c r="B130">
        <v>967</v>
      </c>
      <c r="C130">
        <v>29736</v>
      </c>
      <c r="D130" s="1">
        <v>39600</v>
      </c>
      <c r="E130">
        <v>6</v>
      </c>
      <c r="F130">
        <v>1430.442</v>
      </c>
      <c r="G130">
        <v>0</v>
      </c>
      <c r="H130">
        <v>8582.652</v>
      </c>
    </row>
    <row r="131" spans="1:8" x14ac:dyDescent="0.55000000000000004">
      <c r="A131">
        <v>71784</v>
      </c>
      <c r="B131">
        <v>969</v>
      </c>
      <c r="C131">
        <v>29736</v>
      </c>
      <c r="D131" s="1">
        <v>39600</v>
      </c>
      <c r="E131">
        <v>10</v>
      </c>
      <c r="F131">
        <v>1430.442</v>
      </c>
      <c r="G131">
        <v>0</v>
      </c>
      <c r="H131">
        <v>14304.42</v>
      </c>
    </row>
    <row r="132" spans="1:8" x14ac:dyDescent="0.55000000000000004">
      <c r="A132">
        <v>71784</v>
      </c>
      <c r="B132">
        <v>955</v>
      </c>
      <c r="C132">
        <v>29736</v>
      </c>
      <c r="D132" s="1">
        <v>39600</v>
      </c>
      <c r="E132">
        <v>2</v>
      </c>
      <c r="F132">
        <v>1430.442</v>
      </c>
      <c r="G132">
        <v>0</v>
      </c>
      <c r="H132">
        <v>2860.884</v>
      </c>
    </row>
    <row r="133" spans="1:8" x14ac:dyDescent="0.55000000000000004">
      <c r="A133">
        <v>71784</v>
      </c>
      <c r="B133">
        <v>916</v>
      </c>
      <c r="C133">
        <v>29736</v>
      </c>
      <c r="D133" s="1">
        <v>39600</v>
      </c>
      <c r="E133">
        <v>2</v>
      </c>
      <c r="F133">
        <v>31.584</v>
      </c>
      <c r="G133">
        <v>0</v>
      </c>
      <c r="H133">
        <v>63.167999999999999</v>
      </c>
    </row>
    <row r="134" spans="1:8" x14ac:dyDescent="0.55000000000000004">
      <c r="A134">
        <v>71784</v>
      </c>
      <c r="B134">
        <v>896</v>
      </c>
      <c r="C134">
        <v>29736</v>
      </c>
      <c r="D134" s="1">
        <v>39600</v>
      </c>
      <c r="E134">
        <v>3</v>
      </c>
      <c r="F134">
        <v>200.05199999999999</v>
      </c>
      <c r="G134">
        <v>0</v>
      </c>
      <c r="H134">
        <v>600.15599999999995</v>
      </c>
    </row>
    <row r="135" spans="1:8" x14ac:dyDescent="0.55000000000000004">
      <c r="A135">
        <v>71784</v>
      </c>
      <c r="B135">
        <v>900</v>
      </c>
      <c r="C135">
        <v>29736</v>
      </c>
      <c r="D135" s="1">
        <v>39600</v>
      </c>
      <c r="E135">
        <v>1</v>
      </c>
      <c r="F135">
        <v>200.05199999999999</v>
      </c>
      <c r="G135">
        <v>0</v>
      </c>
      <c r="H135">
        <v>200.05199999999999</v>
      </c>
    </row>
    <row r="136" spans="1:8" x14ac:dyDescent="0.55000000000000004">
      <c r="A136">
        <v>71784</v>
      </c>
      <c r="B136">
        <v>893</v>
      </c>
      <c r="C136">
        <v>29736</v>
      </c>
      <c r="D136" s="1">
        <v>39600</v>
      </c>
      <c r="E136">
        <v>1</v>
      </c>
      <c r="F136">
        <v>602.346</v>
      </c>
      <c r="G136">
        <v>0</v>
      </c>
      <c r="H136">
        <v>602.346</v>
      </c>
    </row>
    <row r="137" spans="1:8" x14ac:dyDescent="0.55000000000000004">
      <c r="A137">
        <v>71784</v>
      </c>
      <c r="B137">
        <v>715</v>
      </c>
      <c r="C137">
        <v>29736</v>
      </c>
      <c r="D137" s="1">
        <v>39600</v>
      </c>
      <c r="E137">
        <v>8</v>
      </c>
      <c r="F137">
        <v>29.994</v>
      </c>
      <c r="G137">
        <v>0</v>
      </c>
      <c r="H137">
        <v>239.952</v>
      </c>
    </row>
    <row r="138" spans="1:8" x14ac:dyDescent="0.55000000000000004">
      <c r="A138">
        <v>71784</v>
      </c>
      <c r="B138">
        <v>881</v>
      </c>
      <c r="C138">
        <v>29736</v>
      </c>
      <c r="D138" s="1">
        <v>39600</v>
      </c>
      <c r="E138">
        <v>6</v>
      </c>
      <c r="F138">
        <v>32.393999999999998</v>
      </c>
      <c r="G138">
        <v>0</v>
      </c>
      <c r="H138">
        <v>194.364</v>
      </c>
    </row>
    <row r="139" spans="1:8" x14ac:dyDescent="0.55000000000000004">
      <c r="A139">
        <v>71784</v>
      </c>
      <c r="B139">
        <v>883</v>
      </c>
      <c r="C139">
        <v>29736</v>
      </c>
      <c r="D139" s="1">
        <v>39600</v>
      </c>
      <c r="E139">
        <v>7</v>
      </c>
      <c r="F139">
        <v>32.393999999999998</v>
      </c>
      <c r="G139">
        <v>0</v>
      </c>
      <c r="H139">
        <v>226.75800000000001</v>
      </c>
    </row>
    <row r="140" spans="1:8" x14ac:dyDescent="0.55000000000000004">
      <c r="A140">
        <v>71784</v>
      </c>
      <c r="B140">
        <v>884</v>
      </c>
      <c r="C140">
        <v>29736</v>
      </c>
      <c r="D140" s="1">
        <v>39600</v>
      </c>
      <c r="E140">
        <v>3</v>
      </c>
      <c r="F140">
        <v>32.393999999999998</v>
      </c>
      <c r="G140">
        <v>0</v>
      </c>
      <c r="H140">
        <v>97.182000000000002</v>
      </c>
    </row>
    <row r="141" spans="1:8" x14ac:dyDescent="0.55000000000000004">
      <c r="A141">
        <v>71784</v>
      </c>
      <c r="B141">
        <v>859</v>
      </c>
      <c r="C141">
        <v>29736</v>
      </c>
      <c r="D141" s="1">
        <v>39600</v>
      </c>
      <c r="E141">
        <v>5</v>
      </c>
      <c r="F141">
        <v>14.694000000000001</v>
      </c>
      <c r="G141">
        <v>0</v>
      </c>
      <c r="H141">
        <v>73.47</v>
      </c>
    </row>
    <row r="142" spans="1:8" x14ac:dyDescent="0.55000000000000004">
      <c r="A142">
        <v>71784</v>
      </c>
      <c r="B142">
        <v>880</v>
      </c>
      <c r="C142">
        <v>29736</v>
      </c>
      <c r="D142" s="1">
        <v>39600</v>
      </c>
      <c r="E142">
        <v>9</v>
      </c>
      <c r="F142">
        <v>32.994</v>
      </c>
      <c r="G142">
        <v>0</v>
      </c>
      <c r="H142">
        <v>296.94600000000003</v>
      </c>
    </row>
    <row r="143" spans="1:8" x14ac:dyDescent="0.55000000000000004">
      <c r="A143">
        <v>71784</v>
      </c>
      <c r="B143">
        <v>873</v>
      </c>
      <c r="C143">
        <v>29736</v>
      </c>
      <c r="D143" s="1">
        <v>39600</v>
      </c>
      <c r="E143">
        <v>8</v>
      </c>
      <c r="F143">
        <v>1.3740000000000001</v>
      </c>
      <c r="G143">
        <v>0</v>
      </c>
      <c r="H143">
        <v>10.992000000000001</v>
      </c>
    </row>
    <row r="144" spans="1:8" x14ac:dyDescent="0.55000000000000004">
      <c r="A144">
        <v>71784</v>
      </c>
      <c r="B144">
        <v>707</v>
      </c>
      <c r="C144">
        <v>29736</v>
      </c>
      <c r="D144" s="1">
        <v>39600</v>
      </c>
      <c r="E144">
        <v>10</v>
      </c>
      <c r="F144">
        <v>20.994</v>
      </c>
      <c r="G144">
        <v>0</v>
      </c>
      <c r="H144">
        <v>209.94</v>
      </c>
    </row>
    <row r="145" spans="1:8" x14ac:dyDescent="0.55000000000000004">
      <c r="A145">
        <v>71796</v>
      </c>
      <c r="B145">
        <v>891</v>
      </c>
      <c r="C145">
        <v>29660</v>
      </c>
      <c r="D145" s="1">
        <v>39600</v>
      </c>
      <c r="E145">
        <v>1</v>
      </c>
      <c r="F145">
        <v>602.346</v>
      </c>
      <c r="G145">
        <v>0</v>
      </c>
      <c r="H145">
        <v>602.346</v>
      </c>
    </row>
    <row r="146" spans="1:8" x14ac:dyDescent="0.55000000000000004">
      <c r="A146">
        <v>71796</v>
      </c>
      <c r="B146">
        <v>972</v>
      </c>
      <c r="C146">
        <v>29660</v>
      </c>
      <c r="D146" s="1">
        <v>39600</v>
      </c>
      <c r="E146">
        <v>8</v>
      </c>
      <c r="F146">
        <v>728.91</v>
      </c>
      <c r="G146">
        <v>0</v>
      </c>
      <c r="H146">
        <v>5831.28</v>
      </c>
    </row>
    <row r="147" spans="1:8" x14ac:dyDescent="0.55000000000000004">
      <c r="A147">
        <v>71796</v>
      </c>
      <c r="B147">
        <v>953</v>
      </c>
      <c r="C147">
        <v>29660</v>
      </c>
      <c r="D147" s="1">
        <v>39600</v>
      </c>
      <c r="E147">
        <v>2</v>
      </c>
      <c r="F147">
        <v>728.91</v>
      </c>
      <c r="G147">
        <v>0</v>
      </c>
      <c r="H147">
        <v>1457.82</v>
      </c>
    </row>
    <row r="148" spans="1:8" x14ac:dyDescent="0.55000000000000004">
      <c r="A148">
        <v>71796</v>
      </c>
      <c r="B148">
        <v>916</v>
      </c>
      <c r="C148">
        <v>29660</v>
      </c>
      <c r="D148" s="1">
        <v>39600</v>
      </c>
      <c r="E148">
        <v>1</v>
      </c>
      <c r="F148">
        <v>31.584</v>
      </c>
      <c r="G148">
        <v>0</v>
      </c>
      <c r="H148">
        <v>31.584</v>
      </c>
    </row>
    <row r="149" spans="1:8" x14ac:dyDescent="0.55000000000000004">
      <c r="A149">
        <v>71796</v>
      </c>
      <c r="B149">
        <v>958</v>
      </c>
      <c r="C149">
        <v>29660</v>
      </c>
      <c r="D149" s="1">
        <v>39600</v>
      </c>
      <c r="E149">
        <v>5</v>
      </c>
      <c r="F149">
        <v>445.41</v>
      </c>
      <c r="G149">
        <v>0</v>
      </c>
      <c r="H149">
        <v>2227.0500000000002</v>
      </c>
    </row>
    <row r="150" spans="1:8" x14ac:dyDescent="0.55000000000000004">
      <c r="A150">
        <v>71796</v>
      </c>
      <c r="B150">
        <v>957</v>
      </c>
      <c r="C150">
        <v>29660</v>
      </c>
      <c r="D150" s="1">
        <v>39600</v>
      </c>
      <c r="E150">
        <v>3</v>
      </c>
      <c r="F150">
        <v>1430.442</v>
      </c>
      <c r="G150">
        <v>0</v>
      </c>
      <c r="H150">
        <v>4291.326</v>
      </c>
    </row>
    <row r="151" spans="1:8" x14ac:dyDescent="0.55000000000000004">
      <c r="A151">
        <v>71796</v>
      </c>
      <c r="B151">
        <v>969</v>
      </c>
      <c r="C151">
        <v>29660</v>
      </c>
      <c r="D151" s="1">
        <v>39600</v>
      </c>
      <c r="E151">
        <v>9</v>
      </c>
      <c r="F151">
        <v>1430.442</v>
      </c>
      <c r="G151">
        <v>0</v>
      </c>
      <c r="H151">
        <v>12873.977999999999</v>
      </c>
    </row>
    <row r="152" spans="1:8" x14ac:dyDescent="0.55000000000000004">
      <c r="A152">
        <v>71796</v>
      </c>
      <c r="B152">
        <v>967</v>
      </c>
      <c r="C152">
        <v>29660</v>
      </c>
      <c r="D152" s="1">
        <v>39600</v>
      </c>
      <c r="E152">
        <v>2</v>
      </c>
      <c r="F152">
        <v>1430.442</v>
      </c>
      <c r="G152">
        <v>0</v>
      </c>
      <c r="H152">
        <v>2860.884</v>
      </c>
    </row>
    <row r="153" spans="1:8" x14ac:dyDescent="0.55000000000000004">
      <c r="A153">
        <v>71796</v>
      </c>
      <c r="B153">
        <v>979</v>
      </c>
      <c r="C153">
        <v>29660</v>
      </c>
      <c r="D153" s="1">
        <v>39600</v>
      </c>
      <c r="E153">
        <v>3</v>
      </c>
      <c r="F153">
        <v>445.41</v>
      </c>
      <c r="G153">
        <v>0</v>
      </c>
      <c r="H153">
        <v>1336.23</v>
      </c>
    </row>
    <row r="154" spans="1:8" x14ac:dyDescent="0.55000000000000004">
      <c r="A154">
        <v>71796</v>
      </c>
      <c r="B154">
        <v>961</v>
      </c>
      <c r="C154">
        <v>29660</v>
      </c>
      <c r="D154" s="1">
        <v>39600</v>
      </c>
      <c r="E154">
        <v>7</v>
      </c>
      <c r="F154">
        <v>445.41</v>
      </c>
      <c r="G154">
        <v>0</v>
      </c>
      <c r="H154">
        <v>3117.87</v>
      </c>
    </row>
    <row r="155" spans="1:8" x14ac:dyDescent="0.55000000000000004">
      <c r="A155">
        <v>71796</v>
      </c>
      <c r="B155">
        <v>965</v>
      </c>
      <c r="C155">
        <v>29660</v>
      </c>
      <c r="D155" s="1">
        <v>39600</v>
      </c>
      <c r="E155">
        <v>2</v>
      </c>
      <c r="F155">
        <v>445.41</v>
      </c>
      <c r="G155">
        <v>0</v>
      </c>
      <c r="H155">
        <v>890.82</v>
      </c>
    </row>
    <row r="156" spans="1:8" x14ac:dyDescent="0.55000000000000004">
      <c r="A156">
        <v>71796</v>
      </c>
      <c r="B156">
        <v>970</v>
      </c>
      <c r="C156">
        <v>29660</v>
      </c>
      <c r="D156" s="1">
        <v>39600</v>
      </c>
      <c r="E156">
        <v>1</v>
      </c>
      <c r="F156">
        <v>728.91</v>
      </c>
      <c r="G156">
        <v>0</v>
      </c>
      <c r="H156">
        <v>728.91</v>
      </c>
    </row>
    <row r="157" spans="1:8" x14ac:dyDescent="0.55000000000000004">
      <c r="A157">
        <v>71796</v>
      </c>
      <c r="B157">
        <v>954</v>
      </c>
      <c r="C157">
        <v>29660</v>
      </c>
      <c r="D157" s="1">
        <v>39600</v>
      </c>
      <c r="E157">
        <v>3</v>
      </c>
      <c r="F157">
        <v>1430.442</v>
      </c>
      <c r="G157">
        <v>0</v>
      </c>
      <c r="H157">
        <v>4291.326</v>
      </c>
    </row>
    <row r="158" spans="1:8" x14ac:dyDescent="0.55000000000000004">
      <c r="A158">
        <v>71796</v>
      </c>
      <c r="B158">
        <v>955</v>
      </c>
      <c r="C158">
        <v>29660</v>
      </c>
      <c r="D158" s="1">
        <v>39600</v>
      </c>
      <c r="E158">
        <v>1</v>
      </c>
      <c r="F158">
        <v>1430.442</v>
      </c>
      <c r="G158">
        <v>0</v>
      </c>
      <c r="H158">
        <v>1430.442</v>
      </c>
    </row>
    <row r="159" spans="1:8" x14ac:dyDescent="0.55000000000000004">
      <c r="A159">
        <v>71796</v>
      </c>
      <c r="B159">
        <v>947</v>
      </c>
      <c r="C159">
        <v>29660</v>
      </c>
      <c r="D159" s="1">
        <v>39600</v>
      </c>
      <c r="E159">
        <v>1</v>
      </c>
      <c r="F159">
        <v>54.942</v>
      </c>
      <c r="G159">
        <v>0</v>
      </c>
      <c r="H159">
        <v>54.942</v>
      </c>
    </row>
    <row r="160" spans="1:8" x14ac:dyDescent="0.55000000000000004">
      <c r="A160">
        <v>71796</v>
      </c>
      <c r="B160">
        <v>899</v>
      </c>
      <c r="C160">
        <v>29660</v>
      </c>
      <c r="D160" s="1">
        <v>39600</v>
      </c>
      <c r="E160">
        <v>1</v>
      </c>
      <c r="F160">
        <v>200.05199999999999</v>
      </c>
      <c r="G160">
        <v>0</v>
      </c>
      <c r="H160">
        <v>200.05199999999999</v>
      </c>
    </row>
    <row r="161" spans="1:8" x14ac:dyDescent="0.55000000000000004">
      <c r="A161">
        <v>71796</v>
      </c>
      <c r="B161">
        <v>900</v>
      </c>
      <c r="C161">
        <v>29660</v>
      </c>
      <c r="D161" s="1">
        <v>39600</v>
      </c>
      <c r="E161">
        <v>1</v>
      </c>
      <c r="F161">
        <v>200.05199999999999</v>
      </c>
      <c r="G161">
        <v>0</v>
      </c>
      <c r="H161">
        <v>200.05199999999999</v>
      </c>
    </row>
    <row r="162" spans="1:8" x14ac:dyDescent="0.55000000000000004">
      <c r="A162">
        <v>71796</v>
      </c>
      <c r="B162">
        <v>892</v>
      </c>
      <c r="C162">
        <v>29660</v>
      </c>
      <c r="D162" s="1">
        <v>39600</v>
      </c>
      <c r="E162">
        <v>6</v>
      </c>
      <c r="F162">
        <v>602.346</v>
      </c>
      <c r="G162">
        <v>0</v>
      </c>
      <c r="H162">
        <v>3614.076</v>
      </c>
    </row>
    <row r="163" spans="1:8" x14ac:dyDescent="0.55000000000000004">
      <c r="A163">
        <v>71796</v>
      </c>
      <c r="B163">
        <v>893</v>
      </c>
      <c r="C163">
        <v>29660</v>
      </c>
      <c r="D163" s="1">
        <v>39600</v>
      </c>
      <c r="E163">
        <v>1</v>
      </c>
      <c r="F163">
        <v>602.346</v>
      </c>
      <c r="G163">
        <v>0</v>
      </c>
      <c r="H163">
        <v>602.346</v>
      </c>
    </row>
    <row r="164" spans="1:8" x14ac:dyDescent="0.55000000000000004">
      <c r="A164">
        <v>71796</v>
      </c>
      <c r="B164">
        <v>885</v>
      </c>
      <c r="C164">
        <v>29660</v>
      </c>
      <c r="D164" s="1">
        <v>39600</v>
      </c>
      <c r="E164">
        <v>2</v>
      </c>
      <c r="F164">
        <v>602.346</v>
      </c>
      <c r="G164">
        <v>0</v>
      </c>
      <c r="H164">
        <v>1204.692</v>
      </c>
    </row>
    <row r="165" spans="1:8" x14ac:dyDescent="0.55000000000000004">
      <c r="A165">
        <v>71797</v>
      </c>
      <c r="B165">
        <v>711</v>
      </c>
      <c r="C165">
        <v>29796</v>
      </c>
      <c r="D165" s="1">
        <v>39600</v>
      </c>
      <c r="E165">
        <v>4</v>
      </c>
      <c r="F165">
        <v>20.994</v>
      </c>
      <c r="G165">
        <v>0</v>
      </c>
      <c r="H165">
        <v>83.975999999999999</v>
      </c>
    </row>
    <row r="166" spans="1:8" x14ac:dyDescent="0.55000000000000004">
      <c r="A166">
        <v>71797</v>
      </c>
      <c r="B166">
        <v>838</v>
      </c>
      <c r="C166">
        <v>29796</v>
      </c>
      <c r="D166" s="1">
        <v>39600</v>
      </c>
      <c r="E166">
        <v>2</v>
      </c>
      <c r="F166">
        <v>858.9</v>
      </c>
      <c r="G166">
        <v>0</v>
      </c>
      <c r="H166">
        <v>1717.8</v>
      </c>
    </row>
    <row r="167" spans="1:8" x14ac:dyDescent="0.55000000000000004">
      <c r="A167">
        <v>71797</v>
      </c>
      <c r="B167">
        <v>714</v>
      </c>
      <c r="C167">
        <v>29796</v>
      </c>
      <c r="D167" s="1">
        <v>39600</v>
      </c>
      <c r="E167">
        <v>1</v>
      </c>
      <c r="F167">
        <v>29.994</v>
      </c>
      <c r="G167">
        <v>0</v>
      </c>
      <c r="H167">
        <v>29.994</v>
      </c>
    </row>
    <row r="168" spans="1:8" x14ac:dyDescent="0.55000000000000004">
      <c r="A168">
        <v>71797</v>
      </c>
      <c r="B168">
        <v>940</v>
      </c>
      <c r="C168">
        <v>29796</v>
      </c>
      <c r="D168" s="1">
        <v>39600</v>
      </c>
      <c r="E168">
        <v>4</v>
      </c>
      <c r="F168">
        <v>48.594000000000001</v>
      </c>
      <c r="G168">
        <v>0</v>
      </c>
      <c r="H168">
        <v>194.376</v>
      </c>
    </row>
    <row r="169" spans="1:8" x14ac:dyDescent="0.55000000000000004">
      <c r="A169">
        <v>71797</v>
      </c>
      <c r="B169">
        <v>913</v>
      </c>
      <c r="C169">
        <v>29796</v>
      </c>
      <c r="D169" s="1">
        <v>39600</v>
      </c>
      <c r="E169">
        <v>2</v>
      </c>
      <c r="F169">
        <v>31.584</v>
      </c>
      <c r="G169">
        <v>0</v>
      </c>
      <c r="H169">
        <v>63.167999999999999</v>
      </c>
    </row>
    <row r="170" spans="1:8" x14ac:dyDescent="0.55000000000000004">
      <c r="A170">
        <v>71797</v>
      </c>
      <c r="B170">
        <v>738</v>
      </c>
      <c r="C170">
        <v>29796</v>
      </c>
      <c r="D170" s="1">
        <v>39600</v>
      </c>
      <c r="E170">
        <v>1</v>
      </c>
      <c r="F170">
        <v>202.33199999999999</v>
      </c>
      <c r="G170">
        <v>0</v>
      </c>
      <c r="H170">
        <v>202.33199999999999</v>
      </c>
    </row>
    <row r="171" spans="1:8" x14ac:dyDescent="0.55000000000000004">
      <c r="A171">
        <v>71797</v>
      </c>
      <c r="B171">
        <v>722</v>
      </c>
      <c r="C171">
        <v>29796</v>
      </c>
      <c r="D171" s="1">
        <v>39600</v>
      </c>
      <c r="E171">
        <v>3</v>
      </c>
      <c r="F171">
        <v>202.33199999999999</v>
      </c>
      <c r="G171">
        <v>0</v>
      </c>
      <c r="H171">
        <v>606.99599999999998</v>
      </c>
    </row>
    <row r="172" spans="1:8" x14ac:dyDescent="0.55000000000000004">
      <c r="A172">
        <v>71797</v>
      </c>
      <c r="B172">
        <v>835</v>
      </c>
      <c r="C172">
        <v>29796</v>
      </c>
      <c r="D172" s="1">
        <v>39600</v>
      </c>
      <c r="E172">
        <v>5</v>
      </c>
      <c r="F172">
        <v>356.89800000000002</v>
      </c>
      <c r="G172">
        <v>0</v>
      </c>
      <c r="H172">
        <v>1784.49</v>
      </c>
    </row>
    <row r="173" spans="1:8" x14ac:dyDescent="0.55000000000000004">
      <c r="A173">
        <v>71797</v>
      </c>
      <c r="B173">
        <v>718</v>
      </c>
      <c r="C173">
        <v>29796</v>
      </c>
      <c r="D173" s="1">
        <v>39600</v>
      </c>
      <c r="E173">
        <v>1</v>
      </c>
      <c r="F173">
        <v>858.9</v>
      </c>
      <c r="G173">
        <v>0</v>
      </c>
      <c r="H173">
        <v>858.9</v>
      </c>
    </row>
    <row r="174" spans="1:8" x14ac:dyDescent="0.55000000000000004">
      <c r="A174">
        <v>71797</v>
      </c>
      <c r="B174">
        <v>715</v>
      </c>
      <c r="C174">
        <v>29796</v>
      </c>
      <c r="D174" s="1">
        <v>39600</v>
      </c>
      <c r="E174">
        <v>4</v>
      </c>
      <c r="F174">
        <v>29.994</v>
      </c>
      <c r="G174">
        <v>0</v>
      </c>
      <c r="H174">
        <v>119.976</v>
      </c>
    </row>
    <row r="175" spans="1:8" x14ac:dyDescent="0.55000000000000004">
      <c r="A175">
        <v>71797</v>
      </c>
      <c r="B175">
        <v>716</v>
      </c>
      <c r="C175">
        <v>29796</v>
      </c>
      <c r="D175" s="1">
        <v>39600</v>
      </c>
      <c r="E175">
        <v>5</v>
      </c>
      <c r="F175">
        <v>29.994</v>
      </c>
      <c r="G175">
        <v>0</v>
      </c>
      <c r="H175">
        <v>149.97</v>
      </c>
    </row>
    <row r="176" spans="1:8" x14ac:dyDescent="0.55000000000000004">
      <c r="A176">
        <v>71797</v>
      </c>
      <c r="B176">
        <v>875</v>
      </c>
      <c r="C176">
        <v>29796</v>
      </c>
      <c r="D176" s="1">
        <v>39600</v>
      </c>
      <c r="E176">
        <v>3</v>
      </c>
      <c r="F176">
        <v>5.3940000000000001</v>
      </c>
      <c r="G176">
        <v>0</v>
      </c>
      <c r="H176">
        <v>16.181999999999999</v>
      </c>
    </row>
    <row r="177" spans="1:8" x14ac:dyDescent="0.55000000000000004">
      <c r="A177">
        <v>71797</v>
      </c>
      <c r="B177">
        <v>860</v>
      </c>
      <c r="C177">
        <v>29796</v>
      </c>
      <c r="D177" s="1">
        <v>39600</v>
      </c>
      <c r="E177">
        <v>4</v>
      </c>
      <c r="F177">
        <v>14.694000000000001</v>
      </c>
      <c r="G177">
        <v>0</v>
      </c>
      <c r="H177">
        <v>58.776000000000003</v>
      </c>
    </row>
    <row r="178" spans="1:8" x14ac:dyDescent="0.55000000000000004">
      <c r="A178">
        <v>71797</v>
      </c>
      <c r="B178">
        <v>712</v>
      </c>
      <c r="C178">
        <v>29796</v>
      </c>
      <c r="D178" s="1">
        <v>39600</v>
      </c>
      <c r="E178">
        <v>6</v>
      </c>
      <c r="F178">
        <v>5.3940000000000001</v>
      </c>
      <c r="G178">
        <v>0</v>
      </c>
      <c r="H178">
        <v>32.363999999999997</v>
      </c>
    </row>
    <row r="179" spans="1:8" x14ac:dyDescent="0.55000000000000004">
      <c r="A179">
        <v>71797</v>
      </c>
      <c r="B179">
        <v>880</v>
      </c>
      <c r="C179">
        <v>29796</v>
      </c>
      <c r="D179" s="1">
        <v>39600</v>
      </c>
      <c r="E179">
        <v>10</v>
      </c>
      <c r="F179">
        <v>32.994</v>
      </c>
      <c r="G179">
        <v>0</v>
      </c>
      <c r="H179">
        <v>329.94</v>
      </c>
    </row>
    <row r="180" spans="1:8" x14ac:dyDescent="0.55000000000000004">
      <c r="A180">
        <v>71797</v>
      </c>
      <c r="B180">
        <v>873</v>
      </c>
      <c r="C180">
        <v>29796</v>
      </c>
      <c r="D180" s="1">
        <v>39600</v>
      </c>
      <c r="E180">
        <v>6</v>
      </c>
      <c r="F180">
        <v>1.3740000000000001</v>
      </c>
      <c r="G180">
        <v>0</v>
      </c>
      <c r="H180">
        <v>8.2439999999999998</v>
      </c>
    </row>
    <row r="181" spans="1:8" x14ac:dyDescent="0.55000000000000004">
      <c r="A181">
        <v>71797</v>
      </c>
      <c r="B181">
        <v>876</v>
      </c>
      <c r="C181">
        <v>29796</v>
      </c>
      <c r="D181" s="1">
        <v>39600</v>
      </c>
      <c r="E181">
        <v>10</v>
      </c>
      <c r="F181">
        <v>72</v>
      </c>
      <c r="G181">
        <v>0</v>
      </c>
      <c r="H181">
        <v>720</v>
      </c>
    </row>
    <row r="182" spans="1:8" x14ac:dyDescent="0.55000000000000004">
      <c r="A182">
        <v>71797</v>
      </c>
      <c r="B182">
        <v>977</v>
      </c>
      <c r="C182">
        <v>29796</v>
      </c>
      <c r="D182" s="1">
        <v>39600</v>
      </c>
      <c r="E182">
        <v>7</v>
      </c>
      <c r="F182">
        <v>323.99400000000003</v>
      </c>
      <c r="G182">
        <v>0</v>
      </c>
      <c r="H182">
        <v>2267.9580000000001</v>
      </c>
    </row>
    <row r="183" spans="1:8" x14ac:dyDescent="0.55000000000000004">
      <c r="A183">
        <v>71797</v>
      </c>
      <c r="B183">
        <v>798</v>
      </c>
      <c r="C183">
        <v>29796</v>
      </c>
      <c r="D183" s="1">
        <v>39600</v>
      </c>
      <c r="E183">
        <v>2</v>
      </c>
      <c r="F183">
        <v>672.29399999999998</v>
      </c>
      <c r="G183">
        <v>0</v>
      </c>
      <c r="H183">
        <v>1344.588</v>
      </c>
    </row>
    <row r="184" spans="1:8" x14ac:dyDescent="0.55000000000000004">
      <c r="A184">
        <v>71797</v>
      </c>
      <c r="B184">
        <v>813</v>
      </c>
      <c r="C184">
        <v>29796</v>
      </c>
      <c r="D184" s="1">
        <v>39600</v>
      </c>
      <c r="E184">
        <v>2</v>
      </c>
      <c r="F184">
        <v>72.162000000000006</v>
      </c>
      <c r="G184">
        <v>0</v>
      </c>
      <c r="H184">
        <v>144.32400000000001</v>
      </c>
    </row>
    <row r="185" spans="1:8" x14ac:dyDescent="0.55000000000000004">
      <c r="A185">
        <v>71797</v>
      </c>
      <c r="B185">
        <v>939</v>
      </c>
      <c r="C185">
        <v>29796</v>
      </c>
      <c r="D185" s="1">
        <v>39600</v>
      </c>
      <c r="E185">
        <v>4</v>
      </c>
      <c r="F185">
        <v>37.253999999999998</v>
      </c>
      <c r="G185">
        <v>0</v>
      </c>
      <c r="H185">
        <v>149.01599999999999</v>
      </c>
    </row>
    <row r="186" spans="1:8" x14ac:dyDescent="0.55000000000000004">
      <c r="A186">
        <v>71797</v>
      </c>
      <c r="B186">
        <v>801</v>
      </c>
      <c r="C186">
        <v>29796</v>
      </c>
      <c r="D186" s="1">
        <v>39600</v>
      </c>
      <c r="E186">
        <v>2</v>
      </c>
      <c r="F186">
        <v>672.29399999999998</v>
      </c>
      <c r="G186">
        <v>0</v>
      </c>
      <c r="H186">
        <v>1344.588</v>
      </c>
    </row>
    <row r="187" spans="1:8" x14ac:dyDescent="0.55000000000000004">
      <c r="A187">
        <v>71797</v>
      </c>
      <c r="B187">
        <v>998</v>
      </c>
      <c r="C187">
        <v>29796</v>
      </c>
      <c r="D187" s="1">
        <v>39600</v>
      </c>
      <c r="E187">
        <v>6</v>
      </c>
      <c r="F187">
        <v>323.99400000000003</v>
      </c>
      <c r="G187">
        <v>0</v>
      </c>
      <c r="H187">
        <v>1943.9639999999999</v>
      </c>
    </row>
    <row r="188" spans="1:8" x14ac:dyDescent="0.55000000000000004">
      <c r="A188">
        <v>71797</v>
      </c>
      <c r="B188">
        <v>999</v>
      </c>
      <c r="C188">
        <v>29796</v>
      </c>
      <c r="D188" s="1">
        <v>39600</v>
      </c>
      <c r="E188">
        <v>4</v>
      </c>
      <c r="F188">
        <v>323.99400000000003</v>
      </c>
      <c r="G188">
        <v>0</v>
      </c>
      <c r="H188">
        <v>1295.9760000000001</v>
      </c>
    </row>
    <row r="189" spans="1:8" x14ac:dyDescent="0.55000000000000004">
      <c r="A189">
        <v>71797</v>
      </c>
      <c r="B189">
        <v>938</v>
      </c>
      <c r="C189">
        <v>29796</v>
      </c>
      <c r="D189" s="1">
        <v>39600</v>
      </c>
      <c r="E189">
        <v>3</v>
      </c>
      <c r="F189">
        <v>24.294</v>
      </c>
      <c r="G189">
        <v>0</v>
      </c>
      <c r="H189">
        <v>72.882000000000005</v>
      </c>
    </row>
    <row r="190" spans="1:8" x14ac:dyDescent="0.55000000000000004">
      <c r="A190">
        <v>71797</v>
      </c>
      <c r="B190">
        <v>794</v>
      </c>
      <c r="C190">
        <v>29796</v>
      </c>
      <c r="D190" s="1">
        <v>39600</v>
      </c>
      <c r="E190">
        <v>5</v>
      </c>
      <c r="F190">
        <v>1466.01</v>
      </c>
      <c r="G190">
        <v>0</v>
      </c>
      <c r="H190">
        <v>7330.05</v>
      </c>
    </row>
    <row r="191" spans="1:8" x14ac:dyDescent="0.55000000000000004">
      <c r="A191">
        <v>71797</v>
      </c>
      <c r="B191">
        <v>795</v>
      </c>
      <c r="C191">
        <v>29796</v>
      </c>
      <c r="D191" s="1">
        <v>39600</v>
      </c>
      <c r="E191">
        <v>2</v>
      </c>
      <c r="F191">
        <v>1466.01</v>
      </c>
      <c r="G191">
        <v>0</v>
      </c>
      <c r="H191">
        <v>2932.02</v>
      </c>
    </row>
    <row r="192" spans="1:8" x14ac:dyDescent="0.55000000000000004">
      <c r="A192">
        <v>71797</v>
      </c>
      <c r="B192">
        <v>797</v>
      </c>
      <c r="C192">
        <v>29796</v>
      </c>
      <c r="D192" s="1">
        <v>39600</v>
      </c>
      <c r="E192">
        <v>10</v>
      </c>
      <c r="F192">
        <v>672.29399999999998</v>
      </c>
      <c r="G192">
        <v>0</v>
      </c>
      <c r="H192">
        <v>6722.94</v>
      </c>
    </row>
    <row r="193" spans="1:8" x14ac:dyDescent="0.55000000000000004">
      <c r="A193">
        <v>71797</v>
      </c>
      <c r="B193">
        <v>881</v>
      </c>
      <c r="C193">
        <v>29796</v>
      </c>
      <c r="D193" s="1">
        <v>39600</v>
      </c>
      <c r="E193">
        <v>8</v>
      </c>
      <c r="F193">
        <v>32.393999999999998</v>
      </c>
      <c r="G193">
        <v>0</v>
      </c>
      <c r="H193">
        <v>259.15199999999999</v>
      </c>
    </row>
    <row r="194" spans="1:8" x14ac:dyDescent="0.55000000000000004">
      <c r="A194">
        <v>71797</v>
      </c>
      <c r="B194">
        <v>865</v>
      </c>
      <c r="C194">
        <v>29796</v>
      </c>
      <c r="D194" s="1">
        <v>39600</v>
      </c>
      <c r="E194">
        <v>1</v>
      </c>
      <c r="F194">
        <v>38.1</v>
      </c>
      <c r="G194">
        <v>0</v>
      </c>
      <c r="H194">
        <v>38.1</v>
      </c>
    </row>
    <row r="195" spans="1:8" x14ac:dyDescent="0.55000000000000004">
      <c r="A195">
        <v>71797</v>
      </c>
      <c r="B195">
        <v>976</v>
      </c>
      <c r="C195">
        <v>29796</v>
      </c>
      <c r="D195" s="1">
        <v>39600</v>
      </c>
      <c r="E195">
        <v>9</v>
      </c>
      <c r="F195">
        <v>1020.5940000000001</v>
      </c>
      <c r="G195">
        <v>0</v>
      </c>
      <c r="H195">
        <v>9185.3459999999995</v>
      </c>
    </row>
    <row r="196" spans="1:8" x14ac:dyDescent="0.55000000000000004">
      <c r="A196">
        <v>71797</v>
      </c>
      <c r="B196">
        <v>793</v>
      </c>
      <c r="C196">
        <v>29796</v>
      </c>
      <c r="D196" s="1">
        <v>39600</v>
      </c>
      <c r="E196">
        <v>6</v>
      </c>
      <c r="F196">
        <v>1466.01</v>
      </c>
      <c r="G196">
        <v>0</v>
      </c>
      <c r="H196">
        <v>8796.06</v>
      </c>
    </row>
    <row r="197" spans="1:8" x14ac:dyDescent="0.55000000000000004">
      <c r="A197">
        <v>71797</v>
      </c>
      <c r="B197">
        <v>974</v>
      </c>
      <c r="C197">
        <v>29796</v>
      </c>
      <c r="D197" s="1">
        <v>39600</v>
      </c>
      <c r="E197">
        <v>3</v>
      </c>
      <c r="F197">
        <v>1020.5940000000001</v>
      </c>
      <c r="G197">
        <v>0</v>
      </c>
      <c r="H197">
        <v>3061.7820000000002</v>
      </c>
    </row>
    <row r="198" spans="1:8" x14ac:dyDescent="0.55000000000000004">
      <c r="A198">
        <v>71797</v>
      </c>
      <c r="B198">
        <v>707</v>
      </c>
      <c r="C198">
        <v>29796</v>
      </c>
      <c r="D198" s="1">
        <v>39600</v>
      </c>
      <c r="E198">
        <v>6</v>
      </c>
      <c r="F198">
        <v>20.994</v>
      </c>
      <c r="G198">
        <v>0</v>
      </c>
      <c r="H198">
        <v>125.964</v>
      </c>
    </row>
    <row r="199" spans="1:8" x14ac:dyDescent="0.55000000000000004">
      <c r="A199">
        <v>71797</v>
      </c>
      <c r="B199">
        <v>859</v>
      </c>
      <c r="C199">
        <v>29796</v>
      </c>
      <c r="D199" s="1">
        <v>39600</v>
      </c>
      <c r="E199">
        <v>9</v>
      </c>
      <c r="F199">
        <v>14.694000000000001</v>
      </c>
      <c r="G199">
        <v>0</v>
      </c>
      <c r="H199">
        <v>132.24600000000001</v>
      </c>
    </row>
    <row r="200" spans="1:8" x14ac:dyDescent="0.55000000000000004">
      <c r="A200">
        <v>71797</v>
      </c>
      <c r="B200">
        <v>973</v>
      </c>
      <c r="C200">
        <v>29796</v>
      </c>
      <c r="D200" s="1">
        <v>39600</v>
      </c>
      <c r="E200">
        <v>5</v>
      </c>
      <c r="F200">
        <v>1020.5940000000001</v>
      </c>
      <c r="G200">
        <v>0</v>
      </c>
      <c r="H200">
        <v>5102.97</v>
      </c>
    </row>
    <row r="201" spans="1:8" x14ac:dyDescent="0.55000000000000004">
      <c r="A201">
        <v>71797</v>
      </c>
      <c r="B201">
        <v>717</v>
      </c>
      <c r="C201">
        <v>29796</v>
      </c>
      <c r="D201" s="1">
        <v>39600</v>
      </c>
      <c r="E201">
        <v>2</v>
      </c>
      <c r="F201">
        <v>858.9</v>
      </c>
      <c r="G201">
        <v>0</v>
      </c>
      <c r="H201">
        <v>1717.8</v>
      </c>
    </row>
    <row r="202" spans="1:8" x14ac:dyDescent="0.55000000000000004">
      <c r="A202">
        <v>71797</v>
      </c>
      <c r="B202">
        <v>858</v>
      </c>
      <c r="C202">
        <v>29796</v>
      </c>
      <c r="D202" s="1">
        <v>39600</v>
      </c>
      <c r="E202">
        <v>4</v>
      </c>
      <c r="F202">
        <v>14.694000000000001</v>
      </c>
      <c r="G202">
        <v>0</v>
      </c>
      <c r="H202">
        <v>58.776000000000003</v>
      </c>
    </row>
    <row r="203" spans="1:8" x14ac:dyDescent="0.55000000000000004">
      <c r="A203">
        <v>71797</v>
      </c>
      <c r="B203">
        <v>836</v>
      </c>
      <c r="C203">
        <v>29796</v>
      </c>
      <c r="D203" s="1">
        <v>39600</v>
      </c>
      <c r="E203">
        <v>4</v>
      </c>
      <c r="F203">
        <v>356.89800000000002</v>
      </c>
      <c r="G203">
        <v>0</v>
      </c>
      <c r="H203">
        <v>1427.5920000000001</v>
      </c>
    </row>
    <row r="204" spans="1:8" x14ac:dyDescent="0.55000000000000004">
      <c r="A204">
        <v>71797</v>
      </c>
      <c r="B204">
        <v>822</v>
      </c>
      <c r="C204">
        <v>29796</v>
      </c>
      <c r="D204" s="1">
        <v>39600</v>
      </c>
      <c r="E204">
        <v>2</v>
      </c>
      <c r="F204">
        <v>356.89800000000002</v>
      </c>
      <c r="G204">
        <v>0</v>
      </c>
      <c r="H204">
        <v>713.79600000000005</v>
      </c>
    </row>
    <row r="205" spans="1:8" x14ac:dyDescent="0.55000000000000004">
      <c r="A205">
        <v>71815</v>
      </c>
      <c r="B205">
        <v>738</v>
      </c>
      <c r="C205">
        <v>30089</v>
      </c>
      <c r="D205" s="1">
        <v>39600</v>
      </c>
      <c r="E205">
        <v>1</v>
      </c>
      <c r="F205">
        <v>202.33199999999999</v>
      </c>
      <c r="G205">
        <v>0</v>
      </c>
      <c r="H205">
        <v>202.33199999999999</v>
      </c>
    </row>
    <row r="206" spans="1:8" x14ac:dyDescent="0.55000000000000004">
      <c r="A206">
        <v>71815</v>
      </c>
      <c r="B206">
        <v>835</v>
      </c>
      <c r="C206">
        <v>30089</v>
      </c>
      <c r="D206" s="1">
        <v>39600</v>
      </c>
      <c r="E206">
        <v>2</v>
      </c>
      <c r="F206">
        <v>356.89800000000002</v>
      </c>
      <c r="G206">
        <v>0</v>
      </c>
      <c r="H206">
        <v>713.79600000000005</v>
      </c>
    </row>
    <row r="207" spans="1:8" x14ac:dyDescent="0.55000000000000004">
      <c r="A207">
        <v>71815</v>
      </c>
      <c r="B207">
        <v>874</v>
      </c>
      <c r="C207">
        <v>30089</v>
      </c>
      <c r="D207" s="1">
        <v>39600</v>
      </c>
      <c r="E207">
        <v>2</v>
      </c>
      <c r="F207">
        <v>5.3940000000000001</v>
      </c>
      <c r="G207">
        <v>0</v>
      </c>
      <c r="H207">
        <v>10.788</v>
      </c>
    </row>
    <row r="208" spans="1:8" x14ac:dyDescent="0.55000000000000004">
      <c r="A208">
        <v>71816</v>
      </c>
      <c r="B208">
        <v>953</v>
      </c>
      <c r="C208">
        <v>30027</v>
      </c>
      <c r="D208" s="1">
        <v>39600</v>
      </c>
      <c r="E208">
        <v>1</v>
      </c>
      <c r="F208">
        <v>728.91</v>
      </c>
      <c r="G208">
        <v>0</v>
      </c>
      <c r="H208">
        <v>728.91</v>
      </c>
    </row>
    <row r="209" spans="1:8" x14ac:dyDescent="0.55000000000000004">
      <c r="A209">
        <v>71816</v>
      </c>
      <c r="B209">
        <v>954</v>
      </c>
      <c r="C209">
        <v>30027</v>
      </c>
      <c r="D209" s="1">
        <v>39600</v>
      </c>
      <c r="E209">
        <v>1</v>
      </c>
      <c r="F209">
        <v>1430.442</v>
      </c>
      <c r="G209">
        <v>0</v>
      </c>
      <c r="H209">
        <v>1430.442</v>
      </c>
    </row>
    <row r="210" spans="1:8" x14ac:dyDescent="0.55000000000000004">
      <c r="A210">
        <v>71816</v>
      </c>
      <c r="B210">
        <v>715</v>
      </c>
      <c r="C210">
        <v>30027</v>
      </c>
      <c r="D210" s="1">
        <v>39600</v>
      </c>
      <c r="E210">
        <v>2</v>
      </c>
      <c r="F210">
        <v>29.994</v>
      </c>
      <c r="G210">
        <v>0</v>
      </c>
      <c r="H210">
        <v>59.988</v>
      </c>
    </row>
    <row r="211" spans="1:8" x14ac:dyDescent="0.55000000000000004">
      <c r="A211">
        <v>71816</v>
      </c>
      <c r="B211">
        <v>712</v>
      </c>
      <c r="C211">
        <v>30027</v>
      </c>
      <c r="D211" s="1">
        <v>39600</v>
      </c>
      <c r="E211">
        <v>4</v>
      </c>
      <c r="F211">
        <v>5.3940000000000001</v>
      </c>
      <c r="G211">
        <v>0</v>
      </c>
      <c r="H211">
        <v>21.576000000000001</v>
      </c>
    </row>
    <row r="212" spans="1:8" x14ac:dyDescent="0.55000000000000004">
      <c r="A212">
        <v>71816</v>
      </c>
      <c r="B212">
        <v>883</v>
      </c>
      <c r="C212">
        <v>30027</v>
      </c>
      <c r="D212" s="1">
        <v>39600</v>
      </c>
      <c r="E212">
        <v>3</v>
      </c>
      <c r="F212">
        <v>32.393999999999998</v>
      </c>
      <c r="G212">
        <v>0</v>
      </c>
      <c r="H212">
        <v>97.182000000000002</v>
      </c>
    </row>
    <row r="213" spans="1:8" x14ac:dyDescent="0.55000000000000004">
      <c r="A213">
        <v>71816</v>
      </c>
      <c r="B213">
        <v>961</v>
      </c>
      <c r="C213">
        <v>30027</v>
      </c>
      <c r="D213" s="1">
        <v>39600</v>
      </c>
      <c r="E213">
        <v>1</v>
      </c>
      <c r="F213">
        <v>445.41</v>
      </c>
      <c r="G213">
        <v>0</v>
      </c>
      <c r="H213">
        <v>445.41</v>
      </c>
    </row>
    <row r="214" spans="1:8" x14ac:dyDescent="0.55000000000000004">
      <c r="A214">
        <v>71816</v>
      </c>
      <c r="B214">
        <v>948</v>
      </c>
      <c r="C214">
        <v>30027</v>
      </c>
      <c r="D214" s="1">
        <v>39600</v>
      </c>
      <c r="E214">
        <v>1</v>
      </c>
      <c r="F214">
        <v>63.9</v>
      </c>
      <c r="G214">
        <v>0</v>
      </c>
      <c r="H214">
        <v>63.9</v>
      </c>
    </row>
    <row r="215" spans="1:8" x14ac:dyDescent="0.55000000000000004">
      <c r="A215">
        <v>71831</v>
      </c>
      <c r="B215">
        <v>869</v>
      </c>
      <c r="C215">
        <v>30019</v>
      </c>
      <c r="D215" s="1">
        <v>39600</v>
      </c>
      <c r="E215">
        <v>2</v>
      </c>
      <c r="F215">
        <v>41.994</v>
      </c>
      <c r="G215">
        <v>0</v>
      </c>
      <c r="H215">
        <v>83.988</v>
      </c>
    </row>
    <row r="216" spans="1:8" x14ac:dyDescent="0.55000000000000004">
      <c r="A216">
        <v>71831</v>
      </c>
      <c r="B216">
        <v>782</v>
      </c>
      <c r="C216">
        <v>30019</v>
      </c>
      <c r="D216" s="1">
        <v>39600</v>
      </c>
      <c r="E216">
        <v>1</v>
      </c>
      <c r="F216">
        <v>1376.9939999999999</v>
      </c>
      <c r="G216">
        <v>0</v>
      </c>
      <c r="H216">
        <v>1376.9939999999999</v>
      </c>
    </row>
    <row r="217" spans="1:8" x14ac:dyDescent="0.55000000000000004">
      <c r="A217">
        <v>71831</v>
      </c>
      <c r="B217">
        <v>867</v>
      </c>
      <c r="C217">
        <v>30019</v>
      </c>
      <c r="D217" s="1">
        <v>39600</v>
      </c>
      <c r="E217">
        <v>6</v>
      </c>
      <c r="F217">
        <v>41.994</v>
      </c>
      <c r="G217">
        <v>0</v>
      </c>
      <c r="H217">
        <v>251.964</v>
      </c>
    </row>
    <row r="218" spans="1:8" x14ac:dyDescent="0.55000000000000004">
      <c r="A218">
        <v>71832</v>
      </c>
      <c r="B218">
        <v>918</v>
      </c>
      <c r="C218">
        <v>29922</v>
      </c>
      <c r="D218" s="1">
        <v>39600</v>
      </c>
      <c r="E218">
        <v>4</v>
      </c>
      <c r="F218">
        <v>158.43</v>
      </c>
      <c r="G218">
        <v>0</v>
      </c>
      <c r="H218">
        <v>633.72</v>
      </c>
    </row>
    <row r="219" spans="1:8" x14ac:dyDescent="0.55000000000000004">
      <c r="A219">
        <v>71832</v>
      </c>
      <c r="B219">
        <v>983</v>
      </c>
      <c r="C219">
        <v>29922</v>
      </c>
      <c r="D219" s="1">
        <v>39600</v>
      </c>
      <c r="E219">
        <v>3</v>
      </c>
      <c r="F219">
        <v>461.69400000000002</v>
      </c>
      <c r="G219">
        <v>0</v>
      </c>
      <c r="H219">
        <v>1385.0820000000001</v>
      </c>
    </row>
    <row r="220" spans="1:8" x14ac:dyDescent="0.55000000000000004">
      <c r="A220">
        <v>71832</v>
      </c>
      <c r="B220">
        <v>781</v>
      </c>
      <c r="C220">
        <v>29922</v>
      </c>
      <c r="D220" s="1">
        <v>39600</v>
      </c>
      <c r="E220">
        <v>2</v>
      </c>
      <c r="F220">
        <v>1391.9939999999999</v>
      </c>
      <c r="G220">
        <v>0</v>
      </c>
      <c r="H220">
        <v>2783.9879999999998</v>
      </c>
    </row>
    <row r="221" spans="1:8" x14ac:dyDescent="0.55000000000000004">
      <c r="A221">
        <v>71832</v>
      </c>
      <c r="B221">
        <v>868</v>
      </c>
      <c r="C221">
        <v>29922</v>
      </c>
      <c r="D221" s="1">
        <v>39600</v>
      </c>
      <c r="E221">
        <v>1</v>
      </c>
      <c r="F221">
        <v>41.994</v>
      </c>
      <c r="G221">
        <v>0</v>
      </c>
      <c r="H221">
        <v>41.994</v>
      </c>
    </row>
    <row r="222" spans="1:8" x14ac:dyDescent="0.55000000000000004">
      <c r="A222">
        <v>71832</v>
      </c>
      <c r="B222">
        <v>810</v>
      </c>
      <c r="C222">
        <v>29922</v>
      </c>
      <c r="D222" s="1">
        <v>39600</v>
      </c>
      <c r="E222">
        <v>1</v>
      </c>
      <c r="F222">
        <v>72.162000000000006</v>
      </c>
      <c r="G222">
        <v>0</v>
      </c>
      <c r="H222">
        <v>72.162000000000006</v>
      </c>
    </row>
    <row r="223" spans="1:8" x14ac:dyDescent="0.55000000000000004">
      <c r="A223">
        <v>71832</v>
      </c>
      <c r="B223">
        <v>980</v>
      </c>
      <c r="C223">
        <v>29922</v>
      </c>
      <c r="D223" s="1">
        <v>39600</v>
      </c>
      <c r="E223">
        <v>1</v>
      </c>
      <c r="F223">
        <v>461.69400000000002</v>
      </c>
      <c r="G223">
        <v>0</v>
      </c>
      <c r="H223">
        <v>461.69400000000002</v>
      </c>
    </row>
    <row r="224" spans="1:8" x14ac:dyDescent="0.55000000000000004">
      <c r="A224">
        <v>71832</v>
      </c>
      <c r="B224">
        <v>925</v>
      </c>
      <c r="C224">
        <v>29922</v>
      </c>
      <c r="D224" s="1">
        <v>39600</v>
      </c>
      <c r="E224">
        <v>2</v>
      </c>
      <c r="F224">
        <v>149.874</v>
      </c>
      <c r="G224">
        <v>0</v>
      </c>
      <c r="H224">
        <v>299.74799999999999</v>
      </c>
    </row>
    <row r="225" spans="1:8" x14ac:dyDescent="0.55000000000000004">
      <c r="A225">
        <v>71832</v>
      </c>
      <c r="B225">
        <v>908</v>
      </c>
      <c r="C225">
        <v>29922</v>
      </c>
      <c r="D225" s="1">
        <v>39600</v>
      </c>
      <c r="E225">
        <v>1</v>
      </c>
      <c r="F225">
        <v>16.271999999999998</v>
      </c>
      <c r="G225">
        <v>0</v>
      </c>
      <c r="H225">
        <v>16.271999999999998</v>
      </c>
    </row>
    <row r="226" spans="1:8" x14ac:dyDescent="0.55000000000000004">
      <c r="A226">
        <v>71832</v>
      </c>
      <c r="B226">
        <v>782</v>
      </c>
      <c r="C226">
        <v>29922</v>
      </c>
      <c r="D226" s="1">
        <v>39600</v>
      </c>
      <c r="E226">
        <v>3</v>
      </c>
      <c r="F226">
        <v>1376.9939999999999</v>
      </c>
      <c r="G226">
        <v>0</v>
      </c>
      <c r="H226">
        <v>4130.982</v>
      </c>
    </row>
    <row r="227" spans="1:8" x14ac:dyDescent="0.55000000000000004">
      <c r="A227">
        <v>71832</v>
      </c>
      <c r="B227">
        <v>937</v>
      </c>
      <c r="C227">
        <v>29922</v>
      </c>
      <c r="D227" s="1">
        <v>39600</v>
      </c>
      <c r="E227">
        <v>1</v>
      </c>
      <c r="F227">
        <v>48.594000000000001</v>
      </c>
      <c r="G227">
        <v>0</v>
      </c>
      <c r="H227">
        <v>48.594000000000001</v>
      </c>
    </row>
    <row r="228" spans="1:8" x14ac:dyDescent="0.55000000000000004">
      <c r="A228">
        <v>71832</v>
      </c>
      <c r="B228">
        <v>936</v>
      </c>
      <c r="C228">
        <v>29922</v>
      </c>
      <c r="D228" s="1">
        <v>39600</v>
      </c>
      <c r="E228">
        <v>1</v>
      </c>
      <c r="F228">
        <v>37.253999999999998</v>
      </c>
      <c r="G228">
        <v>0</v>
      </c>
      <c r="H228">
        <v>37.253999999999998</v>
      </c>
    </row>
    <row r="229" spans="1:8" x14ac:dyDescent="0.55000000000000004">
      <c r="A229">
        <v>71832</v>
      </c>
      <c r="B229">
        <v>743</v>
      </c>
      <c r="C229">
        <v>29922</v>
      </c>
      <c r="D229" s="1">
        <v>39600</v>
      </c>
      <c r="E229">
        <v>4</v>
      </c>
      <c r="F229">
        <v>809.76</v>
      </c>
      <c r="G229">
        <v>0</v>
      </c>
      <c r="H229">
        <v>3239.04</v>
      </c>
    </row>
    <row r="230" spans="1:8" x14ac:dyDescent="0.55000000000000004">
      <c r="A230">
        <v>71832</v>
      </c>
      <c r="B230">
        <v>904</v>
      </c>
      <c r="C230">
        <v>29922</v>
      </c>
      <c r="D230" s="1">
        <v>39600</v>
      </c>
      <c r="E230">
        <v>5</v>
      </c>
      <c r="F230">
        <v>218.45400000000001</v>
      </c>
      <c r="G230">
        <v>0</v>
      </c>
      <c r="H230">
        <v>1092.27</v>
      </c>
    </row>
    <row r="231" spans="1:8" x14ac:dyDescent="0.55000000000000004">
      <c r="A231">
        <v>71832</v>
      </c>
      <c r="B231">
        <v>748</v>
      </c>
      <c r="C231">
        <v>29922</v>
      </c>
      <c r="D231" s="1">
        <v>39600</v>
      </c>
      <c r="E231">
        <v>1</v>
      </c>
      <c r="F231">
        <v>818.7</v>
      </c>
      <c r="G231">
        <v>0</v>
      </c>
      <c r="H231">
        <v>818.7</v>
      </c>
    </row>
    <row r="232" spans="1:8" x14ac:dyDescent="0.55000000000000004">
      <c r="A232">
        <v>71832</v>
      </c>
      <c r="B232">
        <v>910</v>
      </c>
      <c r="C232">
        <v>29922</v>
      </c>
      <c r="D232" s="1">
        <v>39600</v>
      </c>
      <c r="E232">
        <v>1</v>
      </c>
      <c r="F232">
        <v>31.584</v>
      </c>
      <c r="G232">
        <v>0</v>
      </c>
      <c r="H232">
        <v>31.584</v>
      </c>
    </row>
    <row r="233" spans="1:8" x14ac:dyDescent="0.55000000000000004">
      <c r="A233">
        <v>71832</v>
      </c>
      <c r="B233">
        <v>784</v>
      </c>
      <c r="C233">
        <v>29922</v>
      </c>
      <c r="D233" s="1">
        <v>39600</v>
      </c>
      <c r="E233">
        <v>5</v>
      </c>
      <c r="F233">
        <v>1376.9939999999999</v>
      </c>
      <c r="G233">
        <v>0</v>
      </c>
      <c r="H233">
        <v>6884.97</v>
      </c>
    </row>
    <row r="234" spans="1:8" x14ac:dyDescent="0.55000000000000004">
      <c r="A234">
        <v>71832</v>
      </c>
      <c r="B234">
        <v>990</v>
      </c>
      <c r="C234">
        <v>29922</v>
      </c>
      <c r="D234" s="1">
        <v>39600</v>
      </c>
      <c r="E234">
        <v>2</v>
      </c>
      <c r="F234">
        <v>323.99400000000003</v>
      </c>
      <c r="G234">
        <v>0</v>
      </c>
      <c r="H234">
        <v>647.98800000000006</v>
      </c>
    </row>
    <row r="235" spans="1:8" x14ac:dyDescent="0.55000000000000004">
      <c r="A235">
        <v>71832</v>
      </c>
      <c r="B235">
        <v>992</v>
      </c>
      <c r="C235">
        <v>29922</v>
      </c>
      <c r="D235" s="1">
        <v>39600</v>
      </c>
      <c r="E235">
        <v>3</v>
      </c>
      <c r="F235">
        <v>323.99400000000003</v>
      </c>
      <c r="G235">
        <v>0</v>
      </c>
      <c r="H235">
        <v>971.98199999999997</v>
      </c>
    </row>
    <row r="236" spans="1:8" x14ac:dyDescent="0.55000000000000004">
      <c r="A236">
        <v>71832</v>
      </c>
      <c r="B236">
        <v>779</v>
      </c>
      <c r="C236">
        <v>29922</v>
      </c>
      <c r="D236" s="1">
        <v>39600</v>
      </c>
      <c r="E236">
        <v>1</v>
      </c>
      <c r="F236">
        <v>1391.9939999999999</v>
      </c>
      <c r="G236">
        <v>0</v>
      </c>
      <c r="H236">
        <v>1391.9939999999999</v>
      </c>
    </row>
    <row r="237" spans="1:8" x14ac:dyDescent="0.55000000000000004">
      <c r="A237">
        <v>71832</v>
      </c>
      <c r="B237">
        <v>780</v>
      </c>
      <c r="C237">
        <v>29922</v>
      </c>
      <c r="D237" s="1">
        <v>39600</v>
      </c>
      <c r="E237">
        <v>1</v>
      </c>
      <c r="F237">
        <v>1391.9939999999999</v>
      </c>
      <c r="G237">
        <v>0</v>
      </c>
      <c r="H237">
        <v>1391.9939999999999</v>
      </c>
    </row>
    <row r="238" spans="1:8" x14ac:dyDescent="0.55000000000000004">
      <c r="A238">
        <v>71832</v>
      </c>
      <c r="B238">
        <v>944</v>
      </c>
      <c r="C238">
        <v>29922</v>
      </c>
      <c r="D238" s="1">
        <v>39600</v>
      </c>
      <c r="E238">
        <v>2</v>
      </c>
      <c r="F238">
        <v>158.43</v>
      </c>
      <c r="G238">
        <v>0</v>
      </c>
      <c r="H238">
        <v>316.86</v>
      </c>
    </row>
    <row r="239" spans="1:8" x14ac:dyDescent="0.55000000000000004">
      <c r="A239">
        <v>71832</v>
      </c>
      <c r="B239">
        <v>808</v>
      </c>
      <c r="C239">
        <v>29922</v>
      </c>
      <c r="D239" s="1">
        <v>39600</v>
      </c>
      <c r="E239">
        <v>1</v>
      </c>
      <c r="F239">
        <v>26.724</v>
      </c>
      <c r="G239">
        <v>0</v>
      </c>
      <c r="H239">
        <v>26.724</v>
      </c>
    </row>
    <row r="240" spans="1:8" x14ac:dyDescent="0.55000000000000004">
      <c r="A240">
        <v>71832</v>
      </c>
      <c r="B240">
        <v>809</v>
      </c>
      <c r="C240">
        <v>29922</v>
      </c>
      <c r="D240" s="1">
        <v>39600</v>
      </c>
      <c r="E240">
        <v>1</v>
      </c>
      <c r="F240">
        <v>37.152000000000001</v>
      </c>
      <c r="G240">
        <v>0</v>
      </c>
      <c r="H240">
        <v>37.152000000000001</v>
      </c>
    </row>
    <row r="241" spans="1:8" x14ac:dyDescent="0.55000000000000004">
      <c r="A241">
        <v>71832</v>
      </c>
      <c r="B241">
        <v>935</v>
      </c>
      <c r="C241">
        <v>29922</v>
      </c>
      <c r="D241" s="1">
        <v>39600</v>
      </c>
      <c r="E241">
        <v>3</v>
      </c>
      <c r="F241">
        <v>24.294</v>
      </c>
      <c r="G241">
        <v>0</v>
      </c>
      <c r="H241">
        <v>72.882000000000005</v>
      </c>
    </row>
    <row r="242" spans="1:8" x14ac:dyDescent="0.55000000000000004">
      <c r="A242">
        <v>71832</v>
      </c>
      <c r="B242">
        <v>926</v>
      </c>
      <c r="C242">
        <v>29922</v>
      </c>
      <c r="D242" s="1">
        <v>39600</v>
      </c>
      <c r="E242">
        <v>1</v>
      </c>
      <c r="F242">
        <v>149.874</v>
      </c>
      <c r="G242">
        <v>0</v>
      </c>
      <c r="H242">
        <v>149.874</v>
      </c>
    </row>
    <row r="243" spans="1:8" x14ac:dyDescent="0.55000000000000004">
      <c r="A243">
        <v>71832</v>
      </c>
      <c r="B243">
        <v>917</v>
      </c>
      <c r="C243">
        <v>29922</v>
      </c>
      <c r="D243" s="1">
        <v>39600</v>
      </c>
      <c r="E243">
        <v>6</v>
      </c>
      <c r="F243">
        <v>158.43</v>
      </c>
      <c r="G243">
        <v>0</v>
      </c>
      <c r="H243">
        <v>950.58</v>
      </c>
    </row>
    <row r="244" spans="1:8" x14ac:dyDescent="0.55000000000000004">
      <c r="A244">
        <v>71832</v>
      </c>
      <c r="B244">
        <v>920</v>
      </c>
      <c r="C244">
        <v>29922</v>
      </c>
      <c r="D244" s="1">
        <v>39600</v>
      </c>
      <c r="E244">
        <v>1</v>
      </c>
      <c r="F244">
        <v>158.43</v>
      </c>
      <c r="G244">
        <v>0</v>
      </c>
      <c r="H244">
        <v>158.43</v>
      </c>
    </row>
    <row r="245" spans="1:8" x14ac:dyDescent="0.55000000000000004">
      <c r="A245">
        <v>71845</v>
      </c>
      <c r="B245">
        <v>948</v>
      </c>
      <c r="C245">
        <v>29938</v>
      </c>
      <c r="D245" s="1">
        <v>39600</v>
      </c>
      <c r="E245">
        <v>2</v>
      </c>
      <c r="F245">
        <v>63.9</v>
      </c>
      <c r="G245">
        <v>0</v>
      </c>
      <c r="H245">
        <v>127.8</v>
      </c>
    </row>
    <row r="246" spans="1:8" x14ac:dyDescent="0.55000000000000004">
      <c r="A246">
        <v>71845</v>
      </c>
      <c r="B246">
        <v>904</v>
      </c>
      <c r="C246">
        <v>29938</v>
      </c>
      <c r="D246" s="1">
        <v>39600</v>
      </c>
      <c r="E246">
        <v>4</v>
      </c>
      <c r="F246">
        <v>218.45400000000001</v>
      </c>
      <c r="G246">
        <v>0</v>
      </c>
      <c r="H246">
        <v>873.81600000000003</v>
      </c>
    </row>
    <row r="247" spans="1:8" x14ac:dyDescent="0.55000000000000004">
      <c r="A247">
        <v>71845</v>
      </c>
      <c r="B247">
        <v>742</v>
      </c>
      <c r="C247">
        <v>29938</v>
      </c>
      <c r="D247" s="1">
        <v>39600</v>
      </c>
      <c r="E247">
        <v>3</v>
      </c>
      <c r="F247">
        <v>818.7</v>
      </c>
      <c r="G247">
        <v>0</v>
      </c>
      <c r="H247">
        <v>2456.1</v>
      </c>
    </row>
    <row r="248" spans="1:8" x14ac:dyDescent="0.55000000000000004">
      <c r="A248">
        <v>71845</v>
      </c>
      <c r="B248">
        <v>780</v>
      </c>
      <c r="C248">
        <v>29938</v>
      </c>
      <c r="D248" s="1">
        <v>39600</v>
      </c>
      <c r="E248">
        <v>2</v>
      </c>
      <c r="F248">
        <v>1391.9939999999999</v>
      </c>
      <c r="G248">
        <v>0</v>
      </c>
      <c r="H248">
        <v>2783.9879999999998</v>
      </c>
    </row>
    <row r="249" spans="1:8" x14ac:dyDescent="0.55000000000000004">
      <c r="A249">
        <v>71845</v>
      </c>
      <c r="B249">
        <v>945</v>
      </c>
      <c r="C249">
        <v>29938</v>
      </c>
      <c r="D249" s="1">
        <v>39600</v>
      </c>
      <c r="E249">
        <v>1</v>
      </c>
      <c r="F249">
        <v>54.893999999999998</v>
      </c>
      <c r="G249">
        <v>0</v>
      </c>
      <c r="H249">
        <v>54.893999999999998</v>
      </c>
    </row>
    <row r="250" spans="1:8" x14ac:dyDescent="0.55000000000000004">
      <c r="A250">
        <v>71845</v>
      </c>
      <c r="B250">
        <v>949</v>
      </c>
      <c r="C250">
        <v>29938</v>
      </c>
      <c r="D250" s="1">
        <v>39600</v>
      </c>
      <c r="E250">
        <v>3</v>
      </c>
      <c r="F250">
        <v>105.294</v>
      </c>
      <c r="G250">
        <v>0</v>
      </c>
      <c r="H250">
        <v>315.88200000000001</v>
      </c>
    </row>
    <row r="251" spans="1:8" x14ac:dyDescent="0.55000000000000004">
      <c r="A251">
        <v>71845</v>
      </c>
      <c r="B251">
        <v>937</v>
      </c>
      <c r="C251">
        <v>29938</v>
      </c>
      <c r="D251" s="1">
        <v>39600</v>
      </c>
      <c r="E251">
        <v>2</v>
      </c>
      <c r="F251">
        <v>48.594000000000001</v>
      </c>
      <c r="G251">
        <v>0</v>
      </c>
      <c r="H251">
        <v>97.188000000000002</v>
      </c>
    </row>
    <row r="252" spans="1:8" x14ac:dyDescent="0.55000000000000004">
      <c r="A252">
        <v>71845</v>
      </c>
      <c r="B252">
        <v>867</v>
      </c>
      <c r="C252">
        <v>29938</v>
      </c>
      <c r="D252" s="1">
        <v>39600</v>
      </c>
      <c r="E252">
        <v>2</v>
      </c>
      <c r="F252">
        <v>41.994</v>
      </c>
      <c r="G252">
        <v>0</v>
      </c>
      <c r="H252">
        <v>83.988</v>
      </c>
    </row>
    <row r="253" spans="1:8" x14ac:dyDescent="0.55000000000000004">
      <c r="A253">
        <v>71845</v>
      </c>
      <c r="B253">
        <v>748</v>
      </c>
      <c r="C253">
        <v>29938</v>
      </c>
      <c r="D253" s="1">
        <v>39600</v>
      </c>
      <c r="E253">
        <v>1</v>
      </c>
      <c r="F253">
        <v>818.7</v>
      </c>
      <c r="G253">
        <v>0</v>
      </c>
      <c r="H253">
        <v>818.7</v>
      </c>
    </row>
    <row r="254" spans="1:8" x14ac:dyDescent="0.55000000000000004">
      <c r="A254">
        <v>71845</v>
      </c>
      <c r="B254">
        <v>905</v>
      </c>
      <c r="C254">
        <v>29938</v>
      </c>
      <c r="D254" s="1">
        <v>39600</v>
      </c>
      <c r="E254">
        <v>2</v>
      </c>
      <c r="F254">
        <v>218.45400000000001</v>
      </c>
      <c r="G254">
        <v>0</v>
      </c>
      <c r="H254">
        <v>436.90800000000002</v>
      </c>
    </row>
    <row r="255" spans="1:8" x14ac:dyDescent="0.55000000000000004">
      <c r="A255">
        <v>71845</v>
      </c>
      <c r="B255">
        <v>781</v>
      </c>
      <c r="C255">
        <v>29938</v>
      </c>
      <c r="D255" s="1">
        <v>39600</v>
      </c>
      <c r="E255">
        <v>2</v>
      </c>
      <c r="F255">
        <v>1391.9939999999999</v>
      </c>
      <c r="G255">
        <v>0</v>
      </c>
      <c r="H255">
        <v>2783.9879999999998</v>
      </c>
    </row>
    <row r="256" spans="1:8" x14ac:dyDescent="0.55000000000000004">
      <c r="A256">
        <v>71845</v>
      </c>
      <c r="B256">
        <v>869</v>
      </c>
      <c r="C256">
        <v>29938</v>
      </c>
      <c r="D256" s="1">
        <v>39600</v>
      </c>
      <c r="E256">
        <v>3</v>
      </c>
      <c r="F256">
        <v>41.994</v>
      </c>
      <c r="G256">
        <v>0</v>
      </c>
      <c r="H256">
        <v>125.982</v>
      </c>
    </row>
    <row r="257" spans="1:8" x14ac:dyDescent="0.55000000000000004">
      <c r="A257">
        <v>71845</v>
      </c>
      <c r="B257">
        <v>783</v>
      </c>
      <c r="C257">
        <v>29938</v>
      </c>
      <c r="D257" s="1">
        <v>39600</v>
      </c>
      <c r="E257">
        <v>5</v>
      </c>
      <c r="F257">
        <v>1376.9939999999999</v>
      </c>
      <c r="G257">
        <v>0</v>
      </c>
      <c r="H257">
        <v>6884.97</v>
      </c>
    </row>
    <row r="258" spans="1:8" x14ac:dyDescent="0.55000000000000004">
      <c r="A258">
        <v>71845</v>
      </c>
      <c r="B258">
        <v>784</v>
      </c>
      <c r="C258">
        <v>29938</v>
      </c>
      <c r="D258" s="1">
        <v>39600</v>
      </c>
      <c r="E258">
        <v>2</v>
      </c>
      <c r="F258">
        <v>1376.9939999999999</v>
      </c>
      <c r="G258">
        <v>0</v>
      </c>
      <c r="H258">
        <v>2753.9879999999998</v>
      </c>
    </row>
    <row r="259" spans="1:8" x14ac:dyDescent="0.55000000000000004">
      <c r="A259">
        <v>71845</v>
      </c>
      <c r="B259">
        <v>951</v>
      </c>
      <c r="C259">
        <v>29938</v>
      </c>
      <c r="D259" s="1">
        <v>39600</v>
      </c>
      <c r="E259">
        <v>1</v>
      </c>
      <c r="F259">
        <v>242.994</v>
      </c>
      <c r="G259">
        <v>0</v>
      </c>
      <c r="H259">
        <v>242.994</v>
      </c>
    </row>
    <row r="260" spans="1:8" x14ac:dyDescent="0.55000000000000004">
      <c r="A260">
        <v>71845</v>
      </c>
      <c r="B260">
        <v>747</v>
      </c>
      <c r="C260">
        <v>29938</v>
      </c>
      <c r="D260" s="1">
        <v>39600</v>
      </c>
      <c r="E260">
        <v>3</v>
      </c>
      <c r="F260">
        <v>809.76</v>
      </c>
      <c r="G260">
        <v>0</v>
      </c>
      <c r="H260">
        <v>2429.2800000000002</v>
      </c>
    </row>
    <row r="261" spans="1:8" x14ac:dyDescent="0.55000000000000004">
      <c r="A261">
        <v>71845</v>
      </c>
      <c r="B261">
        <v>809</v>
      </c>
      <c r="C261">
        <v>29938</v>
      </c>
      <c r="D261" s="1">
        <v>39600</v>
      </c>
      <c r="E261">
        <v>1</v>
      </c>
      <c r="F261">
        <v>37.152000000000001</v>
      </c>
      <c r="G261">
        <v>0</v>
      </c>
      <c r="H261">
        <v>37.152000000000001</v>
      </c>
    </row>
    <row r="262" spans="1:8" x14ac:dyDescent="0.55000000000000004">
      <c r="A262">
        <v>71845</v>
      </c>
      <c r="B262">
        <v>920</v>
      </c>
      <c r="C262">
        <v>29938</v>
      </c>
      <c r="D262" s="1">
        <v>39600</v>
      </c>
      <c r="E262">
        <v>2</v>
      </c>
      <c r="F262">
        <v>158.43</v>
      </c>
      <c r="G262">
        <v>0</v>
      </c>
      <c r="H262">
        <v>316.86</v>
      </c>
    </row>
    <row r="263" spans="1:8" x14ac:dyDescent="0.55000000000000004">
      <c r="A263">
        <v>71845</v>
      </c>
      <c r="B263">
        <v>743</v>
      </c>
      <c r="C263">
        <v>29938</v>
      </c>
      <c r="D263" s="1">
        <v>39600</v>
      </c>
      <c r="E263">
        <v>2</v>
      </c>
      <c r="F263">
        <v>809.76</v>
      </c>
      <c r="G263">
        <v>0</v>
      </c>
      <c r="H263">
        <v>1619.52</v>
      </c>
    </row>
    <row r="264" spans="1:8" x14ac:dyDescent="0.55000000000000004">
      <c r="A264">
        <v>71845</v>
      </c>
      <c r="B264">
        <v>715</v>
      </c>
      <c r="C264">
        <v>29938</v>
      </c>
      <c r="D264" s="1">
        <v>39600</v>
      </c>
      <c r="E264">
        <v>2</v>
      </c>
      <c r="F264">
        <v>29.994</v>
      </c>
      <c r="G264">
        <v>0</v>
      </c>
      <c r="H264">
        <v>59.988</v>
      </c>
    </row>
    <row r="265" spans="1:8" x14ac:dyDescent="0.55000000000000004">
      <c r="A265">
        <v>71845</v>
      </c>
      <c r="B265">
        <v>944</v>
      </c>
      <c r="C265">
        <v>29938</v>
      </c>
      <c r="D265" s="1">
        <v>39600</v>
      </c>
      <c r="E265">
        <v>2</v>
      </c>
      <c r="F265">
        <v>158.43</v>
      </c>
      <c r="G265">
        <v>0</v>
      </c>
      <c r="H265">
        <v>316.86</v>
      </c>
    </row>
    <row r="266" spans="1:8" x14ac:dyDescent="0.55000000000000004">
      <c r="A266">
        <v>71845</v>
      </c>
      <c r="B266">
        <v>808</v>
      </c>
      <c r="C266">
        <v>29938</v>
      </c>
      <c r="D266" s="1">
        <v>39600</v>
      </c>
      <c r="E266">
        <v>1</v>
      </c>
      <c r="F266">
        <v>26.724</v>
      </c>
      <c r="G266">
        <v>0</v>
      </c>
      <c r="H266">
        <v>26.724</v>
      </c>
    </row>
    <row r="267" spans="1:8" x14ac:dyDescent="0.55000000000000004">
      <c r="A267">
        <v>71845</v>
      </c>
      <c r="B267">
        <v>909</v>
      </c>
      <c r="C267">
        <v>29938</v>
      </c>
      <c r="D267" s="1">
        <v>39600</v>
      </c>
      <c r="E267">
        <v>8</v>
      </c>
      <c r="F267">
        <v>23.484000000000002</v>
      </c>
      <c r="G267">
        <v>0</v>
      </c>
      <c r="H267">
        <v>187.87200000000001</v>
      </c>
    </row>
    <row r="268" spans="1:8" x14ac:dyDescent="0.55000000000000004">
      <c r="A268">
        <v>71845</v>
      </c>
      <c r="B268">
        <v>925</v>
      </c>
      <c r="C268">
        <v>29938</v>
      </c>
      <c r="D268" s="1">
        <v>39600</v>
      </c>
      <c r="E268">
        <v>2</v>
      </c>
      <c r="F268">
        <v>149.874</v>
      </c>
      <c r="G268">
        <v>0</v>
      </c>
      <c r="H268">
        <v>299.74799999999999</v>
      </c>
    </row>
    <row r="269" spans="1:8" x14ac:dyDescent="0.55000000000000004">
      <c r="A269">
        <v>71845</v>
      </c>
      <c r="B269">
        <v>782</v>
      </c>
      <c r="C269">
        <v>29938</v>
      </c>
      <c r="D269" s="1">
        <v>39600</v>
      </c>
      <c r="E269">
        <v>2</v>
      </c>
      <c r="F269">
        <v>1376.9939999999999</v>
      </c>
      <c r="G269">
        <v>0</v>
      </c>
      <c r="H269">
        <v>2753.9879999999998</v>
      </c>
    </row>
    <row r="270" spans="1:8" x14ac:dyDescent="0.55000000000000004">
      <c r="A270">
        <v>71845</v>
      </c>
      <c r="B270">
        <v>910</v>
      </c>
      <c r="C270">
        <v>29938</v>
      </c>
      <c r="D270" s="1">
        <v>39600</v>
      </c>
      <c r="E270">
        <v>2</v>
      </c>
      <c r="F270">
        <v>31.584</v>
      </c>
      <c r="G270">
        <v>0</v>
      </c>
      <c r="H270">
        <v>63.167999999999999</v>
      </c>
    </row>
    <row r="271" spans="1:8" x14ac:dyDescent="0.55000000000000004">
      <c r="A271">
        <v>71845</v>
      </c>
      <c r="B271">
        <v>996</v>
      </c>
      <c r="C271">
        <v>29938</v>
      </c>
      <c r="D271" s="1">
        <v>39600</v>
      </c>
      <c r="E271">
        <v>3</v>
      </c>
      <c r="F271">
        <v>72.894000000000005</v>
      </c>
      <c r="G271">
        <v>0</v>
      </c>
      <c r="H271">
        <v>218.68199999999999</v>
      </c>
    </row>
    <row r="272" spans="1:8" x14ac:dyDescent="0.55000000000000004">
      <c r="A272">
        <v>71845</v>
      </c>
      <c r="B272">
        <v>779</v>
      </c>
      <c r="C272">
        <v>29938</v>
      </c>
      <c r="D272" s="1">
        <v>39600</v>
      </c>
      <c r="E272">
        <v>3</v>
      </c>
      <c r="F272">
        <v>1391.9939999999999</v>
      </c>
      <c r="G272">
        <v>0</v>
      </c>
      <c r="H272">
        <v>4175.982</v>
      </c>
    </row>
    <row r="273" spans="1:8" x14ac:dyDescent="0.55000000000000004">
      <c r="A273">
        <v>71845</v>
      </c>
      <c r="B273">
        <v>924</v>
      </c>
      <c r="C273">
        <v>29938</v>
      </c>
      <c r="D273" s="1">
        <v>39600</v>
      </c>
      <c r="E273">
        <v>4</v>
      </c>
      <c r="F273">
        <v>149.874</v>
      </c>
      <c r="G273">
        <v>0</v>
      </c>
      <c r="H273">
        <v>599.49599999999998</v>
      </c>
    </row>
    <row r="274" spans="1:8" x14ac:dyDescent="0.55000000000000004">
      <c r="A274">
        <v>71845</v>
      </c>
      <c r="B274">
        <v>952</v>
      </c>
      <c r="C274">
        <v>29938</v>
      </c>
      <c r="D274" s="1">
        <v>39600</v>
      </c>
      <c r="E274">
        <v>3</v>
      </c>
      <c r="F274">
        <v>12.144</v>
      </c>
      <c r="G274">
        <v>0</v>
      </c>
      <c r="H274">
        <v>36.432000000000002</v>
      </c>
    </row>
    <row r="275" spans="1:8" x14ac:dyDescent="0.55000000000000004">
      <c r="A275">
        <v>71846</v>
      </c>
      <c r="B275">
        <v>936</v>
      </c>
      <c r="C275">
        <v>30102</v>
      </c>
      <c r="D275" s="1">
        <v>39600</v>
      </c>
      <c r="E275">
        <v>2</v>
      </c>
      <c r="F275">
        <v>37.253999999999998</v>
      </c>
      <c r="G275">
        <v>0</v>
      </c>
      <c r="H275">
        <v>74.507999999999996</v>
      </c>
    </row>
    <row r="276" spans="1:8" x14ac:dyDescent="0.55000000000000004">
      <c r="A276">
        <v>71846</v>
      </c>
      <c r="B276">
        <v>739</v>
      </c>
      <c r="C276">
        <v>30102</v>
      </c>
      <c r="D276" s="1">
        <v>39600</v>
      </c>
      <c r="E276">
        <v>1</v>
      </c>
      <c r="F276">
        <v>818.7</v>
      </c>
      <c r="G276">
        <v>0</v>
      </c>
      <c r="H276">
        <v>818.7</v>
      </c>
    </row>
    <row r="277" spans="1:8" x14ac:dyDescent="0.55000000000000004">
      <c r="A277">
        <v>71846</v>
      </c>
      <c r="B277">
        <v>981</v>
      </c>
      <c r="C277">
        <v>30102</v>
      </c>
      <c r="D277" s="1">
        <v>39600</v>
      </c>
      <c r="E277">
        <v>2</v>
      </c>
      <c r="F277">
        <v>461.69400000000002</v>
      </c>
      <c r="G277">
        <v>0</v>
      </c>
      <c r="H277">
        <v>923.38800000000003</v>
      </c>
    </row>
    <row r="278" spans="1:8" x14ac:dyDescent="0.55000000000000004">
      <c r="A278">
        <v>71856</v>
      </c>
      <c r="B278">
        <v>962</v>
      </c>
      <c r="C278">
        <v>30033</v>
      </c>
      <c r="D278" s="1">
        <v>39600</v>
      </c>
      <c r="E278">
        <v>1</v>
      </c>
      <c r="F278">
        <v>445.41</v>
      </c>
      <c r="G278">
        <v>0</v>
      </c>
      <c r="H278">
        <v>445.41</v>
      </c>
    </row>
    <row r="279" spans="1:8" x14ac:dyDescent="0.55000000000000004">
      <c r="A279">
        <v>71856</v>
      </c>
      <c r="B279">
        <v>945</v>
      </c>
      <c r="C279">
        <v>30033</v>
      </c>
      <c r="D279" s="1">
        <v>39600</v>
      </c>
      <c r="E279">
        <v>1</v>
      </c>
      <c r="F279">
        <v>54.893999999999998</v>
      </c>
      <c r="G279">
        <v>0</v>
      </c>
      <c r="H279">
        <v>54.893999999999998</v>
      </c>
    </row>
    <row r="280" spans="1:8" x14ac:dyDescent="0.55000000000000004">
      <c r="A280">
        <v>71858</v>
      </c>
      <c r="B280">
        <v>979</v>
      </c>
      <c r="C280">
        <v>29653</v>
      </c>
      <c r="D280" s="1">
        <v>39600</v>
      </c>
      <c r="E280">
        <v>3</v>
      </c>
      <c r="F280">
        <v>445.41</v>
      </c>
      <c r="G280">
        <v>0</v>
      </c>
      <c r="H280">
        <v>1336.23</v>
      </c>
    </row>
    <row r="281" spans="1:8" x14ac:dyDescent="0.55000000000000004">
      <c r="A281">
        <v>71858</v>
      </c>
      <c r="B281">
        <v>962</v>
      </c>
      <c r="C281">
        <v>29653</v>
      </c>
      <c r="D281" s="1">
        <v>39600</v>
      </c>
      <c r="E281">
        <v>1</v>
      </c>
      <c r="F281">
        <v>445.41</v>
      </c>
      <c r="G281">
        <v>0</v>
      </c>
      <c r="H281">
        <v>445.41</v>
      </c>
    </row>
    <row r="282" spans="1:8" x14ac:dyDescent="0.55000000000000004">
      <c r="A282">
        <v>71858</v>
      </c>
      <c r="B282">
        <v>953</v>
      </c>
      <c r="C282">
        <v>29653</v>
      </c>
      <c r="D282" s="1">
        <v>39600</v>
      </c>
      <c r="E282">
        <v>1</v>
      </c>
      <c r="F282">
        <v>728.91</v>
      </c>
      <c r="G282">
        <v>0</v>
      </c>
      <c r="H282">
        <v>728.91</v>
      </c>
    </row>
    <row r="283" spans="1:8" x14ac:dyDescent="0.55000000000000004">
      <c r="A283">
        <v>71858</v>
      </c>
      <c r="B283">
        <v>715</v>
      </c>
      <c r="C283">
        <v>29653</v>
      </c>
      <c r="D283" s="1">
        <v>39600</v>
      </c>
      <c r="E283">
        <v>2</v>
      </c>
      <c r="F283">
        <v>29.994</v>
      </c>
      <c r="G283">
        <v>0</v>
      </c>
      <c r="H283">
        <v>59.988</v>
      </c>
    </row>
    <row r="284" spans="1:8" x14ac:dyDescent="0.55000000000000004">
      <c r="A284">
        <v>71858</v>
      </c>
      <c r="B284">
        <v>883</v>
      </c>
      <c r="C284">
        <v>29653</v>
      </c>
      <c r="D284" s="1">
        <v>39600</v>
      </c>
      <c r="E284">
        <v>2</v>
      </c>
      <c r="F284">
        <v>32.393999999999998</v>
      </c>
      <c r="G284">
        <v>0</v>
      </c>
      <c r="H284">
        <v>64.787999999999997</v>
      </c>
    </row>
    <row r="285" spans="1:8" x14ac:dyDescent="0.55000000000000004">
      <c r="A285">
        <v>71858</v>
      </c>
      <c r="B285">
        <v>957</v>
      </c>
      <c r="C285">
        <v>29653</v>
      </c>
      <c r="D285" s="1">
        <v>39600</v>
      </c>
      <c r="E285">
        <v>1</v>
      </c>
      <c r="F285">
        <v>1430.442</v>
      </c>
      <c r="G285">
        <v>0</v>
      </c>
      <c r="H285">
        <v>1430.442</v>
      </c>
    </row>
    <row r="286" spans="1:8" x14ac:dyDescent="0.55000000000000004">
      <c r="A286">
        <v>71858</v>
      </c>
      <c r="B286">
        <v>965</v>
      </c>
      <c r="C286">
        <v>29653</v>
      </c>
      <c r="D286" s="1">
        <v>39600</v>
      </c>
      <c r="E286">
        <v>2</v>
      </c>
      <c r="F286">
        <v>445.41</v>
      </c>
      <c r="G286">
        <v>0</v>
      </c>
      <c r="H286">
        <v>890.82</v>
      </c>
    </row>
    <row r="287" spans="1:8" x14ac:dyDescent="0.55000000000000004">
      <c r="A287">
        <v>71858</v>
      </c>
      <c r="B287">
        <v>952</v>
      </c>
      <c r="C287">
        <v>29653</v>
      </c>
      <c r="D287" s="1">
        <v>39600</v>
      </c>
      <c r="E287">
        <v>1</v>
      </c>
      <c r="F287">
        <v>12.144</v>
      </c>
      <c r="G287">
        <v>0</v>
      </c>
      <c r="H287">
        <v>12.144</v>
      </c>
    </row>
    <row r="288" spans="1:8" x14ac:dyDescent="0.55000000000000004">
      <c r="A288">
        <v>71858</v>
      </c>
      <c r="B288">
        <v>948</v>
      </c>
      <c r="C288">
        <v>29653</v>
      </c>
      <c r="D288" s="1">
        <v>39600</v>
      </c>
      <c r="E288">
        <v>2</v>
      </c>
      <c r="F288">
        <v>63.9</v>
      </c>
      <c r="G288">
        <v>0</v>
      </c>
      <c r="H288">
        <v>127.8</v>
      </c>
    </row>
    <row r="289" spans="1:8" x14ac:dyDescent="0.55000000000000004">
      <c r="A289">
        <v>71858</v>
      </c>
      <c r="B289">
        <v>945</v>
      </c>
      <c r="C289">
        <v>29653</v>
      </c>
      <c r="D289" s="1">
        <v>39600</v>
      </c>
      <c r="E289">
        <v>1</v>
      </c>
      <c r="F289">
        <v>54.893999999999998</v>
      </c>
      <c r="G289">
        <v>0</v>
      </c>
      <c r="H289">
        <v>54.893999999999998</v>
      </c>
    </row>
    <row r="290" spans="1:8" x14ac:dyDescent="0.55000000000000004">
      <c r="A290">
        <v>71858</v>
      </c>
      <c r="B290">
        <v>972</v>
      </c>
      <c r="C290">
        <v>29653</v>
      </c>
      <c r="D290" s="1">
        <v>39600</v>
      </c>
      <c r="E290">
        <v>1</v>
      </c>
      <c r="F290">
        <v>728.91</v>
      </c>
      <c r="G290">
        <v>0</v>
      </c>
      <c r="H290">
        <v>728.91</v>
      </c>
    </row>
    <row r="291" spans="1:8" x14ac:dyDescent="0.55000000000000004">
      <c r="A291">
        <v>71858</v>
      </c>
      <c r="B291">
        <v>877</v>
      </c>
      <c r="C291">
        <v>29653</v>
      </c>
      <c r="D291" s="1">
        <v>39600</v>
      </c>
      <c r="E291">
        <v>1</v>
      </c>
      <c r="F291">
        <v>4.7699999999999996</v>
      </c>
      <c r="G291">
        <v>0</v>
      </c>
      <c r="H291">
        <v>4.7699999999999996</v>
      </c>
    </row>
    <row r="292" spans="1:8" x14ac:dyDescent="0.55000000000000004">
      <c r="A292">
        <v>71858</v>
      </c>
      <c r="B292">
        <v>958</v>
      </c>
      <c r="C292">
        <v>29653</v>
      </c>
      <c r="D292" s="1">
        <v>39600</v>
      </c>
      <c r="E292">
        <v>1</v>
      </c>
      <c r="F292">
        <v>445.41</v>
      </c>
      <c r="G292">
        <v>0</v>
      </c>
      <c r="H292">
        <v>445.41</v>
      </c>
    </row>
    <row r="293" spans="1:8" x14ac:dyDescent="0.55000000000000004">
      <c r="A293">
        <v>71858</v>
      </c>
      <c r="B293">
        <v>969</v>
      </c>
      <c r="C293">
        <v>29653</v>
      </c>
      <c r="D293" s="1">
        <v>39600</v>
      </c>
      <c r="E293">
        <v>1</v>
      </c>
      <c r="F293">
        <v>1430.442</v>
      </c>
      <c r="G293">
        <v>0</v>
      </c>
      <c r="H293">
        <v>1430.442</v>
      </c>
    </row>
    <row r="294" spans="1:8" x14ac:dyDescent="0.55000000000000004">
      <c r="A294">
        <v>71858</v>
      </c>
      <c r="B294">
        <v>961</v>
      </c>
      <c r="C294">
        <v>29653</v>
      </c>
      <c r="D294" s="1">
        <v>39600</v>
      </c>
      <c r="E294">
        <v>2</v>
      </c>
      <c r="F294">
        <v>445.41</v>
      </c>
      <c r="G294">
        <v>0</v>
      </c>
      <c r="H294">
        <v>890.82</v>
      </c>
    </row>
    <row r="295" spans="1:8" x14ac:dyDescent="0.55000000000000004">
      <c r="A295">
        <v>71858</v>
      </c>
      <c r="B295">
        <v>966</v>
      </c>
      <c r="C295">
        <v>29653</v>
      </c>
      <c r="D295" s="1">
        <v>39600</v>
      </c>
      <c r="E295">
        <v>2</v>
      </c>
      <c r="F295">
        <v>1430.442</v>
      </c>
      <c r="G295">
        <v>0</v>
      </c>
      <c r="H295">
        <v>2860.884</v>
      </c>
    </row>
    <row r="296" spans="1:8" x14ac:dyDescent="0.55000000000000004">
      <c r="A296">
        <v>71858</v>
      </c>
      <c r="B296">
        <v>712</v>
      </c>
      <c r="C296">
        <v>29653</v>
      </c>
      <c r="D296" s="1">
        <v>39600</v>
      </c>
      <c r="E296">
        <v>3</v>
      </c>
      <c r="F296">
        <v>5.3940000000000001</v>
      </c>
      <c r="G296">
        <v>0</v>
      </c>
      <c r="H296">
        <v>16.181999999999999</v>
      </c>
    </row>
    <row r="297" spans="1:8" x14ac:dyDescent="0.55000000000000004">
      <c r="A297">
        <v>71863</v>
      </c>
      <c r="B297">
        <v>874</v>
      </c>
      <c r="C297">
        <v>29975</v>
      </c>
      <c r="D297" s="1">
        <v>39600</v>
      </c>
      <c r="E297">
        <v>2</v>
      </c>
      <c r="F297">
        <v>5.3940000000000001</v>
      </c>
      <c r="G297">
        <v>0</v>
      </c>
      <c r="H297">
        <v>10.788</v>
      </c>
    </row>
    <row r="298" spans="1:8" x14ac:dyDescent="0.55000000000000004">
      <c r="A298">
        <v>71863</v>
      </c>
      <c r="B298">
        <v>998</v>
      </c>
      <c r="C298">
        <v>29975</v>
      </c>
      <c r="D298" s="1">
        <v>39600</v>
      </c>
      <c r="E298">
        <v>2</v>
      </c>
      <c r="F298">
        <v>323.99400000000003</v>
      </c>
      <c r="G298">
        <v>0</v>
      </c>
      <c r="H298">
        <v>647.98800000000006</v>
      </c>
    </row>
    <row r="299" spans="1:8" x14ac:dyDescent="0.55000000000000004">
      <c r="A299">
        <v>71863</v>
      </c>
      <c r="B299">
        <v>973</v>
      </c>
      <c r="C299">
        <v>29975</v>
      </c>
      <c r="D299" s="1">
        <v>39600</v>
      </c>
      <c r="E299">
        <v>1</v>
      </c>
      <c r="F299">
        <v>1020.5940000000001</v>
      </c>
      <c r="G299">
        <v>0</v>
      </c>
      <c r="H299">
        <v>1020.5940000000001</v>
      </c>
    </row>
    <row r="300" spans="1:8" x14ac:dyDescent="0.55000000000000004">
      <c r="A300">
        <v>71863</v>
      </c>
      <c r="B300">
        <v>711</v>
      </c>
      <c r="C300">
        <v>29975</v>
      </c>
      <c r="D300" s="1">
        <v>39600</v>
      </c>
      <c r="E300">
        <v>1</v>
      </c>
      <c r="F300">
        <v>20.994</v>
      </c>
      <c r="G300">
        <v>0</v>
      </c>
      <c r="H300">
        <v>20.994</v>
      </c>
    </row>
    <row r="301" spans="1:8" x14ac:dyDescent="0.55000000000000004">
      <c r="A301">
        <v>71863</v>
      </c>
      <c r="B301">
        <v>999</v>
      </c>
      <c r="C301">
        <v>29975</v>
      </c>
      <c r="D301" s="1">
        <v>39600</v>
      </c>
      <c r="E301">
        <v>3</v>
      </c>
      <c r="F301">
        <v>323.99400000000003</v>
      </c>
      <c r="G301">
        <v>0</v>
      </c>
      <c r="H301">
        <v>971.98199999999997</v>
      </c>
    </row>
    <row r="302" spans="1:8" x14ac:dyDescent="0.55000000000000004">
      <c r="A302">
        <v>71863</v>
      </c>
      <c r="B302">
        <v>938</v>
      </c>
      <c r="C302">
        <v>29975</v>
      </c>
      <c r="D302" s="1">
        <v>39600</v>
      </c>
      <c r="E302">
        <v>2</v>
      </c>
      <c r="F302">
        <v>24.294</v>
      </c>
      <c r="G302">
        <v>0</v>
      </c>
      <c r="H302">
        <v>48.588000000000001</v>
      </c>
    </row>
    <row r="303" spans="1:8" x14ac:dyDescent="0.55000000000000004">
      <c r="A303">
        <v>71867</v>
      </c>
      <c r="B303">
        <v>717</v>
      </c>
      <c r="C303">
        <v>29644</v>
      </c>
      <c r="D303" s="1">
        <v>39600</v>
      </c>
      <c r="E303">
        <v>1</v>
      </c>
      <c r="F303">
        <v>858.9</v>
      </c>
      <c r="G303">
        <v>0</v>
      </c>
      <c r="H303">
        <v>858.9</v>
      </c>
    </row>
    <row r="304" spans="1:8" x14ac:dyDescent="0.55000000000000004">
      <c r="A304">
        <v>71885</v>
      </c>
      <c r="B304">
        <v>876</v>
      </c>
      <c r="C304">
        <v>29612</v>
      </c>
      <c r="D304" s="1">
        <v>39600</v>
      </c>
      <c r="E304">
        <v>3</v>
      </c>
      <c r="F304">
        <v>72</v>
      </c>
      <c r="G304">
        <v>0</v>
      </c>
      <c r="H304">
        <v>216</v>
      </c>
    </row>
    <row r="305" spans="1:8" x14ac:dyDescent="0.55000000000000004">
      <c r="A305">
        <v>71885</v>
      </c>
      <c r="B305">
        <v>884</v>
      </c>
      <c r="C305">
        <v>29612</v>
      </c>
      <c r="D305" s="1">
        <v>39600</v>
      </c>
      <c r="E305">
        <v>6</v>
      </c>
      <c r="F305">
        <v>32.393999999999998</v>
      </c>
      <c r="G305">
        <v>0</v>
      </c>
      <c r="H305">
        <v>194.364</v>
      </c>
    </row>
    <row r="306" spans="1:8" x14ac:dyDescent="0.55000000000000004">
      <c r="A306">
        <v>71885</v>
      </c>
      <c r="B306">
        <v>864</v>
      </c>
      <c r="C306">
        <v>29612</v>
      </c>
      <c r="D306" s="1">
        <v>39600</v>
      </c>
      <c r="E306">
        <v>3</v>
      </c>
      <c r="F306">
        <v>38.1</v>
      </c>
      <c r="G306">
        <v>0</v>
      </c>
      <c r="H306">
        <v>114.3</v>
      </c>
    </row>
    <row r="307" spans="1:8" x14ac:dyDescent="0.55000000000000004">
      <c r="A307">
        <v>71895</v>
      </c>
      <c r="B307">
        <v>909</v>
      </c>
      <c r="C307">
        <v>29584</v>
      </c>
      <c r="D307" s="1">
        <v>39600</v>
      </c>
      <c r="E307">
        <v>2</v>
      </c>
      <c r="F307">
        <v>23.484000000000002</v>
      </c>
      <c r="G307">
        <v>0</v>
      </c>
      <c r="H307">
        <v>46.968000000000004</v>
      </c>
    </row>
    <row r="308" spans="1:8" x14ac:dyDescent="0.55000000000000004">
      <c r="A308">
        <v>71895</v>
      </c>
      <c r="B308">
        <v>715</v>
      </c>
      <c r="C308">
        <v>29584</v>
      </c>
      <c r="D308" s="1">
        <v>39600</v>
      </c>
      <c r="E308">
        <v>2</v>
      </c>
      <c r="F308">
        <v>29.994</v>
      </c>
      <c r="G308">
        <v>0</v>
      </c>
      <c r="H308">
        <v>59.988</v>
      </c>
    </row>
    <row r="309" spans="1:8" x14ac:dyDescent="0.55000000000000004">
      <c r="A309">
        <v>71895</v>
      </c>
      <c r="B309">
        <v>864</v>
      </c>
      <c r="C309">
        <v>29584</v>
      </c>
      <c r="D309" s="1">
        <v>39600</v>
      </c>
      <c r="E309">
        <v>3</v>
      </c>
      <c r="F309">
        <v>38.1</v>
      </c>
      <c r="G309">
        <v>0</v>
      </c>
      <c r="H309">
        <v>114.3</v>
      </c>
    </row>
    <row r="310" spans="1:8" x14ac:dyDescent="0.55000000000000004">
      <c r="A310">
        <v>71897</v>
      </c>
      <c r="B310">
        <v>966</v>
      </c>
      <c r="C310">
        <v>29877</v>
      </c>
      <c r="D310" s="1">
        <v>39600</v>
      </c>
      <c r="E310">
        <v>1</v>
      </c>
      <c r="F310">
        <v>1430.442</v>
      </c>
      <c r="G310">
        <v>0</v>
      </c>
      <c r="H310">
        <v>1430.442</v>
      </c>
    </row>
    <row r="311" spans="1:8" x14ac:dyDescent="0.55000000000000004">
      <c r="A311">
        <v>71897</v>
      </c>
      <c r="B311">
        <v>979</v>
      </c>
      <c r="C311">
        <v>29877</v>
      </c>
      <c r="D311" s="1">
        <v>39600</v>
      </c>
      <c r="E311">
        <v>4</v>
      </c>
      <c r="F311">
        <v>445.41</v>
      </c>
      <c r="G311">
        <v>0</v>
      </c>
      <c r="H311">
        <v>1781.64</v>
      </c>
    </row>
    <row r="312" spans="1:8" x14ac:dyDescent="0.55000000000000004">
      <c r="A312">
        <v>71897</v>
      </c>
      <c r="B312">
        <v>969</v>
      </c>
      <c r="C312">
        <v>29877</v>
      </c>
      <c r="D312" s="1">
        <v>39600</v>
      </c>
      <c r="E312">
        <v>3</v>
      </c>
      <c r="F312">
        <v>1430.442</v>
      </c>
      <c r="G312">
        <v>0</v>
      </c>
      <c r="H312">
        <v>4291.326</v>
      </c>
    </row>
    <row r="313" spans="1:8" x14ac:dyDescent="0.55000000000000004">
      <c r="A313">
        <v>71897</v>
      </c>
      <c r="B313">
        <v>884</v>
      </c>
      <c r="C313">
        <v>29877</v>
      </c>
      <c r="D313" s="1">
        <v>39600</v>
      </c>
      <c r="E313">
        <v>3</v>
      </c>
      <c r="F313">
        <v>32.393999999999998</v>
      </c>
      <c r="G313">
        <v>0</v>
      </c>
      <c r="H313">
        <v>97.182000000000002</v>
      </c>
    </row>
    <row r="314" spans="1:8" x14ac:dyDescent="0.55000000000000004">
      <c r="A314">
        <v>71897</v>
      </c>
      <c r="B314">
        <v>712</v>
      </c>
      <c r="C314">
        <v>29877</v>
      </c>
      <c r="D314" s="1">
        <v>39600</v>
      </c>
      <c r="E314">
        <v>4</v>
      </c>
      <c r="F314">
        <v>5.3940000000000001</v>
      </c>
      <c r="G314">
        <v>0</v>
      </c>
      <c r="H314">
        <v>21.576000000000001</v>
      </c>
    </row>
    <row r="315" spans="1:8" x14ac:dyDescent="0.55000000000000004">
      <c r="A315">
        <v>71897</v>
      </c>
      <c r="B315">
        <v>954</v>
      </c>
      <c r="C315">
        <v>29877</v>
      </c>
      <c r="D315" s="1">
        <v>39600</v>
      </c>
      <c r="E315">
        <v>2</v>
      </c>
      <c r="F315">
        <v>1430.442</v>
      </c>
      <c r="G315">
        <v>0</v>
      </c>
      <c r="H315">
        <v>2860.884</v>
      </c>
    </row>
    <row r="316" spans="1:8" x14ac:dyDescent="0.55000000000000004">
      <c r="A316">
        <v>71897</v>
      </c>
      <c r="B316">
        <v>864</v>
      </c>
      <c r="C316">
        <v>29877</v>
      </c>
      <c r="D316" s="1">
        <v>39600</v>
      </c>
      <c r="E316">
        <v>1</v>
      </c>
      <c r="F316">
        <v>38.1</v>
      </c>
      <c r="G316">
        <v>0</v>
      </c>
      <c r="H316">
        <v>38.1</v>
      </c>
    </row>
    <row r="317" spans="1:8" x14ac:dyDescent="0.55000000000000004">
      <c r="A317">
        <v>71897</v>
      </c>
      <c r="B317">
        <v>948</v>
      </c>
      <c r="C317">
        <v>29877</v>
      </c>
      <c r="D317" s="1">
        <v>39600</v>
      </c>
      <c r="E317">
        <v>1</v>
      </c>
      <c r="F317">
        <v>63.9</v>
      </c>
      <c r="G317">
        <v>0</v>
      </c>
      <c r="H317">
        <v>63.9</v>
      </c>
    </row>
    <row r="318" spans="1:8" x14ac:dyDescent="0.55000000000000004">
      <c r="A318">
        <v>71898</v>
      </c>
      <c r="B318">
        <v>969</v>
      </c>
      <c r="C318">
        <v>29932</v>
      </c>
      <c r="D318" s="1">
        <v>39600</v>
      </c>
      <c r="E318">
        <v>3</v>
      </c>
      <c r="F318">
        <v>1430.442</v>
      </c>
      <c r="G318">
        <v>0</v>
      </c>
      <c r="H318">
        <v>4291.326</v>
      </c>
    </row>
    <row r="319" spans="1:8" x14ac:dyDescent="0.55000000000000004">
      <c r="A319">
        <v>71898</v>
      </c>
      <c r="B319">
        <v>978</v>
      </c>
      <c r="C319">
        <v>29932</v>
      </c>
      <c r="D319" s="1">
        <v>39600</v>
      </c>
      <c r="E319">
        <v>4</v>
      </c>
      <c r="F319">
        <v>445.41</v>
      </c>
      <c r="G319">
        <v>0</v>
      </c>
      <c r="H319">
        <v>1781.64</v>
      </c>
    </row>
    <row r="320" spans="1:8" x14ac:dyDescent="0.55000000000000004">
      <c r="A320">
        <v>71898</v>
      </c>
      <c r="B320">
        <v>996</v>
      </c>
      <c r="C320">
        <v>29932</v>
      </c>
      <c r="D320" s="1">
        <v>39600</v>
      </c>
      <c r="E320">
        <v>4</v>
      </c>
      <c r="F320">
        <v>72.894000000000005</v>
      </c>
      <c r="G320">
        <v>0</v>
      </c>
      <c r="H320">
        <v>291.57600000000002</v>
      </c>
    </row>
    <row r="321" spans="1:8" x14ac:dyDescent="0.55000000000000004">
      <c r="A321">
        <v>71898</v>
      </c>
      <c r="B321">
        <v>967</v>
      </c>
      <c r="C321">
        <v>29932</v>
      </c>
      <c r="D321" s="1">
        <v>39600</v>
      </c>
      <c r="E321">
        <v>6</v>
      </c>
      <c r="F321">
        <v>1430.442</v>
      </c>
      <c r="G321">
        <v>0</v>
      </c>
      <c r="H321">
        <v>8582.652</v>
      </c>
    </row>
    <row r="322" spans="1:8" x14ac:dyDescent="0.55000000000000004">
      <c r="A322">
        <v>71898</v>
      </c>
      <c r="B322">
        <v>970</v>
      </c>
      <c r="C322">
        <v>29932</v>
      </c>
      <c r="D322" s="1">
        <v>39600</v>
      </c>
      <c r="E322">
        <v>3</v>
      </c>
      <c r="F322">
        <v>728.91</v>
      </c>
      <c r="G322">
        <v>0</v>
      </c>
      <c r="H322">
        <v>2186.73</v>
      </c>
    </row>
    <row r="323" spans="1:8" x14ac:dyDescent="0.55000000000000004">
      <c r="A323">
        <v>71898</v>
      </c>
      <c r="B323">
        <v>956</v>
      </c>
      <c r="C323">
        <v>29932</v>
      </c>
      <c r="D323" s="1">
        <v>39600</v>
      </c>
      <c r="E323">
        <v>1</v>
      </c>
      <c r="F323">
        <v>1430.442</v>
      </c>
      <c r="G323">
        <v>0</v>
      </c>
      <c r="H323">
        <v>1430.442</v>
      </c>
    </row>
    <row r="324" spans="1:8" x14ac:dyDescent="0.55000000000000004">
      <c r="A324">
        <v>71898</v>
      </c>
      <c r="B324">
        <v>960</v>
      </c>
      <c r="C324">
        <v>29932</v>
      </c>
      <c r="D324" s="1">
        <v>39600</v>
      </c>
      <c r="E324">
        <v>3</v>
      </c>
      <c r="F324">
        <v>445.41</v>
      </c>
      <c r="G324">
        <v>0</v>
      </c>
      <c r="H324">
        <v>1336.23</v>
      </c>
    </row>
    <row r="325" spans="1:8" x14ac:dyDescent="0.55000000000000004">
      <c r="A325">
        <v>71898</v>
      </c>
      <c r="B325">
        <v>994</v>
      </c>
      <c r="C325">
        <v>29932</v>
      </c>
      <c r="D325" s="1">
        <v>39600</v>
      </c>
      <c r="E325">
        <v>3</v>
      </c>
      <c r="F325">
        <v>32.393999999999998</v>
      </c>
      <c r="G325">
        <v>0</v>
      </c>
      <c r="H325">
        <v>97.182000000000002</v>
      </c>
    </row>
    <row r="326" spans="1:8" x14ac:dyDescent="0.55000000000000004">
      <c r="A326">
        <v>71898</v>
      </c>
      <c r="B326">
        <v>959</v>
      </c>
      <c r="C326">
        <v>29932</v>
      </c>
      <c r="D326" s="1">
        <v>39600</v>
      </c>
      <c r="E326">
        <v>1</v>
      </c>
      <c r="F326">
        <v>445.41</v>
      </c>
      <c r="G326">
        <v>0</v>
      </c>
      <c r="H326">
        <v>445.41</v>
      </c>
    </row>
    <row r="327" spans="1:8" x14ac:dyDescent="0.55000000000000004">
      <c r="A327">
        <v>71898</v>
      </c>
      <c r="B327">
        <v>968</v>
      </c>
      <c r="C327">
        <v>29932</v>
      </c>
      <c r="D327" s="1">
        <v>39600</v>
      </c>
      <c r="E327">
        <v>4</v>
      </c>
      <c r="F327">
        <v>1430.442</v>
      </c>
      <c r="G327">
        <v>0</v>
      </c>
      <c r="H327">
        <v>5721.768</v>
      </c>
    </row>
    <row r="328" spans="1:8" x14ac:dyDescent="0.55000000000000004">
      <c r="A328">
        <v>71898</v>
      </c>
      <c r="B328">
        <v>966</v>
      </c>
      <c r="C328">
        <v>29932</v>
      </c>
      <c r="D328" s="1">
        <v>39600</v>
      </c>
      <c r="E328">
        <v>3</v>
      </c>
      <c r="F328">
        <v>1430.442</v>
      </c>
      <c r="G328">
        <v>0</v>
      </c>
      <c r="H328">
        <v>4291.326</v>
      </c>
    </row>
    <row r="329" spans="1:8" x14ac:dyDescent="0.55000000000000004">
      <c r="A329">
        <v>71898</v>
      </c>
      <c r="B329">
        <v>972</v>
      </c>
      <c r="C329">
        <v>29932</v>
      </c>
      <c r="D329" s="1">
        <v>39600</v>
      </c>
      <c r="E329">
        <v>5</v>
      </c>
      <c r="F329">
        <v>728.91</v>
      </c>
      <c r="G329">
        <v>0</v>
      </c>
      <c r="H329">
        <v>3644.55</v>
      </c>
    </row>
    <row r="330" spans="1:8" x14ac:dyDescent="0.55000000000000004">
      <c r="A330">
        <v>71898</v>
      </c>
      <c r="B330">
        <v>949</v>
      </c>
      <c r="C330">
        <v>29932</v>
      </c>
      <c r="D330" s="1">
        <v>39600</v>
      </c>
      <c r="E330">
        <v>4</v>
      </c>
      <c r="F330">
        <v>105.294</v>
      </c>
      <c r="G330">
        <v>0</v>
      </c>
      <c r="H330">
        <v>421.17599999999999</v>
      </c>
    </row>
    <row r="331" spans="1:8" x14ac:dyDescent="0.55000000000000004">
      <c r="A331">
        <v>71898</v>
      </c>
      <c r="B331">
        <v>958</v>
      </c>
      <c r="C331">
        <v>29932</v>
      </c>
      <c r="D331" s="1">
        <v>39600</v>
      </c>
      <c r="E331">
        <v>1</v>
      </c>
      <c r="F331">
        <v>445.41</v>
      </c>
      <c r="G331">
        <v>0</v>
      </c>
      <c r="H331">
        <v>445.41</v>
      </c>
    </row>
    <row r="332" spans="1:8" x14ac:dyDescent="0.55000000000000004">
      <c r="A332">
        <v>71898</v>
      </c>
      <c r="B332">
        <v>945</v>
      </c>
      <c r="C332">
        <v>29932</v>
      </c>
      <c r="D332" s="1">
        <v>39600</v>
      </c>
      <c r="E332">
        <v>3</v>
      </c>
      <c r="F332">
        <v>54.893999999999998</v>
      </c>
      <c r="G332">
        <v>0</v>
      </c>
      <c r="H332">
        <v>164.68199999999999</v>
      </c>
    </row>
    <row r="333" spans="1:8" x14ac:dyDescent="0.55000000000000004">
      <c r="A333">
        <v>71898</v>
      </c>
      <c r="B333">
        <v>971</v>
      </c>
      <c r="C333">
        <v>29932</v>
      </c>
      <c r="D333" s="1">
        <v>39600</v>
      </c>
      <c r="E333">
        <v>5</v>
      </c>
      <c r="F333">
        <v>728.91</v>
      </c>
      <c r="G333">
        <v>0</v>
      </c>
      <c r="H333">
        <v>3644.55</v>
      </c>
    </row>
    <row r="334" spans="1:8" x14ac:dyDescent="0.55000000000000004">
      <c r="A334">
        <v>71898</v>
      </c>
      <c r="B334">
        <v>953</v>
      </c>
      <c r="C334">
        <v>29932</v>
      </c>
      <c r="D334" s="1">
        <v>39600</v>
      </c>
      <c r="E334">
        <v>2</v>
      </c>
      <c r="F334">
        <v>728.91</v>
      </c>
      <c r="G334">
        <v>0</v>
      </c>
      <c r="H334">
        <v>1457.82</v>
      </c>
    </row>
    <row r="335" spans="1:8" x14ac:dyDescent="0.55000000000000004">
      <c r="A335">
        <v>71898</v>
      </c>
      <c r="B335">
        <v>889</v>
      </c>
      <c r="C335">
        <v>29932</v>
      </c>
      <c r="D335" s="1">
        <v>39600</v>
      </c>
      <c r="E335">
        <v>1</v>
      </c>
      <c r="F335">
        <v>602.346</v>
      </c>
      <c r="G335">
        <v>0</v>
      </c>
      <c r="H335">
        <v>602.346</v>
      </c>
    </row>
    <row r="336" spans="1:8" x14ac:dyDescent="0.55000000000000004">
      <c r="A336">
        <v>71898</v>
      </c>
      <c r="B336">
        <v>955</v>
      </c>
      <c r="C336">
        <v>29932</v>
      </c>
      <c r="D336" s="1">
        <v>39600</v>
      </c>
      <c r="E336">
        <v>1</v>
      </c>
      <c r="F336">
        <v>1430.442</v>
      </c>
      <c r="G336">
        <v>0</v>
      </c>
      <c r="H336">
        <v>1430.442</v>
      </c>
    </row>
    <row r="337" spans="1:8" x14ac:dyDescent="0.55000000000000004">
      <c r="A337">
        <v>71898</v>
      </c>
      <c r="B337">
        <v>964</v>
      </c>
      <c r="C337">
        <v>29932</v>
      </c>
      <c r="D337" s="1">
        <v>39600</v>
      </c>
      <c r="E337">
        <v>3</v>
      </c>
      <c r="F337">
        <v>445.41</v>
      </c>
      <c r="G337">
        <v>0</v>
      </c>
      <c r="H337">
        <v>1336.23</v>
      </c>
    </row>
    <row r="338" spans="1:8" x14ac:dyDescent="0.55000000000000004">
      <c r="A338">
        <v>71898</v>
      </c>
      <c r="B338">
        <v>916</v>
      </c>
      <c r="C338">
        <v>29932</v>
      </c>
      <c r="D338" s="1">
        <v>39600</v>
      </c>
      <c r="E338">
        <v>3</v>
      </c>
      <c r="F338">
        <v>31.584</v>
      </c>
      <c r="G338">
        <v>0</v>
      </c>
      <c r="H338">
        <v>94.751999999999995</v>
      </c>
    </row>
    <row r="339" spans="1:8" x14ac:dyDescent="0.55000000000000004">
      <c r="A339">
        <v>71898</v>
      </c>
      <c r="B339">
        <v>948</v>
      </c>
      <c r="C339">
        <v>29932</v>
      </c>
      <c r="D339" s="1">
        <v>39600</v>
      </c>
      <c r="E339">
        <v>1</v>
      </c>
      <c r="F339">
        <v>63.9</v>
      </c>
      <c r="G339">
        <v>0</v>
      </c>
      <c r="H339">
        <v>63.9</v>
      </c>
    </row>
    <row r="340" spans="1:8" x14ac:dyDescent="0.55000000000000004">
      <c r="A340">
        <v>71898</v>
      </c>
      <c r="B340">
        <v>979</v>
      </c>
      <c r="C340">
        <v>29932</v>
      </c>
      <c r="D340" s="1">
        <v>39600</v>
      </c>
      <c r="E340">
        <v>3</v>
      </c>
      <c r="F340">
        <v>445.41</v>
      </c>
      <c r="G340">
        <v>0</v>
      </c>
      <c r="H340">
        <v>1336.23</v>
      </c>
    </row>
    <row r="341" spans="1:8" x14ac:dyDescent="0.55000000000000004">
      <c r="A341">
        <v>71898</v>
      </c>
      <c r="B341">
        <v>951</v>
      </c>
      <c r="C341">
        <v>29932</v>
      </c>
      <c r="D341" s="1">
        <v>39600</v>
      </c>
      <c r="E341">
        <v>3</v>
      </c>
      <c r="F341">
        <v>242.994</v>
      </c>
      <c r="G341">
        <v>0</v>
      </c>
      <c r="H341">
        <v>728.98199999999997</v>
      </c>
    </row>
    <row r="342" spans="1:8" x14ac:dyDescent="0.55000000000000004">
      <c r="A342">
        <v>71898</v>
      </c>
      <c r="B342">
        <v>954</v>
      </c>
      <c r="C342">
        <v>29932</v>
      </c>
      <c r="D342" s="1">
        <v>39600</v>
      </c>
      <c r="E342">
        <v>3</v>
      </c>
      <c r="F342">
        <v>1430.442</v>
      </c>
      <c r="G342">
        <v>0</v>
      </c>
      <c r="H342">
        <v>4291.326</v>
      </c>
    </row>
    <row r="343" spans="1:8" x14ac:dyDescent="0.55000000000000004">
      <c r="A343">
        <v>71898</v>
      </c>
      <c r="B343">
        <v>952</v>
      </c>
      <c r="C343">
        <v>29932</v>
      </c>
      <c r="D343" s="1">
        <v>39600</v>
      </c>
      <c r="E343">
        <v>1</v>
      </c>
      <c r="F343">
        <v>12.144</v>
      </c>
      <c r="G343">
        <v>0</v>
      </c>
      <c r="H343">
        <v>12.144</v>
      </c>
    </row>
    <row r="344" spans="1:8" x14ac:dyDescent="0.55000000000000004">
      <c r="A344">
        <v>71898</v>
      </c>
      <c r="B344">
        <v>965</v>
      </c>
      <c r="C344">
        <v>29932</v>
      </c>
      <c r="D344" s="1">
        <v>39600</v>
      </c>
      <c r="E344">
        <v>5</v>
      </c>
      <c r="F344">
        <v>445.41</v>
      </c>
      <c r="G344">
        <v>0</v>
      </c>
      <c r="H344">
        <v>2227.0500000000002</v>
      </c>
    </row>
    <row r="345" spans="1:8" x14ac:dyDescent="0.55000000000000004">
      <c r="A345">
        <v>71898</v>
      </c>
      <c r="B345">
        <v>961</v>
      </c>
      <c r="C345">
        <v>29932</v>
      </c>
      <c r="D345" s="1">
        <v>39600</v>
      </c>
      <c r="E345">
        <v>2</v>
      </c>
      <c r="F345">
        <v>445.41</v>
      </c>
      <c r="G345">
        <v>0</v>
      </c>
      <c r="H345">
        <v>890.82</v>
      </c>
    </row>
    <row r="346" spans="1:8" x14ac:dyDescent="0.55000000000000004">
      <c r="A346">
        <v>71899</v>
      </c>
      <c r="B346">
        <v>881</v>
      </c>
      <c r="C346">
        <v>29568</v>
      </c>
      <c r="D346" s="1">
        <v>39600</v>
      </c>
      <c r="E346">
        <v>2</v>
      </c>
      <c r="F346">
        <v>32.393999999999998</v>
      </c>
      <c r="G346">
        <v>0</v>
      </c>
      <c r="H346">
        <v>64.787999999999997</v>
      </c>
    </row>
    <row r="347" spans="1:8" x14ac:dyDescent="0.55000000000000004">
      <c r="A347">
        <v>71899</v>
      </c>
      <c r="B347">
        <v>981</v>
      </c>
      <c r="C347">
        <v>29568</v>
      </c>
      <c r="D347" s="1">
        <v>39600</v>
      </c>
      <c r="E347">
        <v>1</v>
      </c>
      <c r="F347">
        <v>461.69400000000002</v>
      </c>
      <c r="G347">
        <v>0</v>
      </c>
      <c r="H347">
        <v>461.69400000000002</v>
      </c>
    </row>
    <row r="348" spans="1:8" x14ac:dyDescent="0.55000000000000004">
      <c r="A348">
        <v>71899</v>
      </c>
      <c r="B348">
        <v>743</v>
      </c>
      <c r="C348">
        <v>29568</v>
      </c>
      <c r="D348" s="1">
        <v>39600</v>
      </c>
      <c r="E348">
        <v>1</v>
      </c>
      <c r="F348">
        <v>809.76</v>
      </c>
      <c r="G348">
        <v>0</v>
      </c>
      <c r="H348">
        <v>809.76</v>
      </c>
    </row>
    <row r="349" spans="1:8" x14ac:dyDescent="0.55000000000000004">
      <c r="A349">
        <v>71899</v>
      </c>
      <c r="B349">
        <v>808</v>
      </c>
      <c r="C349">
        <v>29568</v>
      </c>
      <c r="D349" s="1">
        <v>39600</v>
      </c>
      <c r="E349">
        <v>1</v>
      </c>
      <c r="F349">
        <v>26.724</v>
      </c>
      <c r="G349">
        <v>0</v>
      </c>
      <c r="H349">
        <v>26.724</v>
      </c>
    </row>
    <row r="350" spans="1:8" x14ac:dyDescent="0.55000000000000004">
      <c r="A350">
        <v>71899</v>
      </c>
      <c r="B350">
        <v>714</v>
      </c>
      <c r="C350">
        <v>29568</v>
      </c>
      <c r="D350" s="1">
        <v>39600</v>
      </c>
      <c r="E350">
        <v>2</v>
      </c>
      <c r="F350">
        <v>29.994</v>
      </c>
      <c r="G350">
        <v>0</v>
      </c>
      <c r="H350">
        <v>59.988</v>
      </c>
    </row>
    <row r="351" spans="1:8" x14ac:dyDescent="0.55000000000000004">
      <c r="A351">
        <v>71899</v>
      </c>
      <c r="B351">
        <v>944</v>
      </c>
      <c r="C351">
        <v>29568</v>
      </c>
      <c r="D351" s="1">
        <v>39600</v>
      </c>
      <c r="E351">
        <v>2</v>
      </c>
      <c r="F351">
        <v>158.43</v>
      </c>
      <c r="G351">
        <v>0</v>
      </c>
      <c r="H351">
        <v>316.86</v>
      </c>
    </row>
    <row r="352" spans="1:8" x14ac:dyDescent="0.55000000000000004">
      <c r="A352">
        <v>71899</v>
      </c>
      <c r="B352">
        <v>937</v>
      </c>
      <c r="C352">
        <v>29568</v>
      </c>
      <c r="D352" s="1">
        <v>39600</v>
      </c>
      <c r="E352">
        <v>1</v>
      </c>
      <c r="F352">
        <v>48.594000000000001</v>
      </c>
      <c r="G352">
        <v>0</v>
      </c>
      <c r="H352">
        <v>48.594000000000001</v>
      </c>
    </row>
    <row r="353" spans="1:8" x14ac:dyDescent="0.55000000000000004">
      <c r="A353">
        <v>71902</v>
      </c>
      <c r="B353">
        <v>780</v>
      </c>
      <c r="C353">
        <v>29929</v>
      </c>
      <c r="D353" s="1">
        <v>39600</v>
      </c>
      <c r="E353">
        <v>5</v>
      </c>
      <c r="F353">
        <v>1391.9939999999999</v>
      </c>
      <c r="G353">
        <v>0</v>
      </c>
      <c r="H353">
        <v>6959.97</v>
      </c>
    </row>
    <row r="354" spans="1:8" x14ac:dyDescent="0.55000000000000004">
      <c r="A354">
        <v>71902</v>
      </c>
      <c r="B354">
        <v>981</v>
      </c>
      <c r="C354">
        <v>29929</v>
      </c>
      <c r="D354" s="1">
        <v>39600</v>
      </c>
      <c r="E354">
        <v>2</v>
      </c>
      <c r="F354">
        <v>461.69400000000002</v>
      </c>
      <c r="G354">
        <v>0</v>
      </c>
      <c r="H354">
        <v>923.38800000000003</v>
      </c>
    </row>
    <row r="355" spans="1:8" x14ac:dyDescent="0.55000000000000004">
      <c r="A355">
        <v>71902</v>
      </c>
      <c r="B355">
        <v>904</v>
      </c>
      <c r="C355">
        <v>29929</v>
      </c>
      <c r="D355" s="1">
        <v>39600</v>
      </c>
      <c r="E355">
        <v>1</v>
      </c>
      <c r="F355">
        <v>218.45400000000001</v>
      </c>
      <c r="G355">
        <v>0</v>
      </c>
      <c r="H355">
        <v>218.45400000000001</v>
      </c>
    </row>
    <row r="356" spans="1:8" x14ac:dyDescent="0.55000000000000004">
      <c r="A356">
        <v>71902</v>
      </c>
      <c r="B356">
        <v>783</v>
      </c>
      <c r="C356">
        <v>29929</v>
      </c>
      <c r="D356" s="1">
        <v>39600</v>
      </c>
      <c r="E356">
        <v>7</v>
      </c>
      <c r="F356">
        <v>1376.9939999999999</v>
      </c>
      <c r="G356">
        <v>0</v>
      </c>
      <c r="H356">
        <v>9638.9580000000005</v>
      </c>
    </row>
    <row r="357" spans="1:8" x14ac:dyDescent="0.55000000000000004">
      <c r="A357">
        <v>71902</v>
      </c>
      <c r="B357">
        <v>781</v>
      </c>
      <c r="C357">
        <v>29929</v>
      </c>
      <c r="D357" s="1">
        <v>39600</v>
      </c>
      <c r="E357">
        <v>5</v>
      </c>
      <c r="F357">
        <v>1391.9939999999999</v>
      </c>
      <c r="G357">
        <v>0</v>
      </c>
      <c r="H357">
        <v>6959.97</v>
      </c>
    </row>
    <row r="358" spans="1:8" x14ac:dyDescent="0.55000000000000004">
      <c r="A358">
        <v>71902</v>
      </c>
      <c r="B358">
        <v>859</v>
      </c>
      <c r="C358">
        <v>29929</v>
      </c>
      <c r="D358" s="1">
        <v>39600</v>
      </c>
      <c r="E358">
        <v>2</v>
      </c>
      <c r="F358">
        <v>14.694000000000001</v>
      </c>
      <c r="G358">
        <v>0</v>
      </c>
      <c r="H358">
        <v>29.388000000000002</v>
      </c>
    </row>
    <row r="359" spans="1:8" x14ac:dyDescent="0.55000000000000004">
      <c r="A359">
        <v>71902</v>
      </c>
      <c r="B359">
        <v>869</v>
      </c>
      <c r="C359">
        <v>29929</v>
      </c>
      <c r="D359" s="1">
        <v>39600</v>
      </c>
      <c r="E359">
        <v>7</v>
      </c>
      <c r="F359">
        <v>41.994</v>
      </c>
      <c r="G359">
        <v>0</v>
      </c>
      <c r="H359">
        <v>293.95800000000003</v>
      </c>
    </row>
    <row r="360" spans="1:8" x14ac:dyDescent="0.55000000000000004">
      <c r="A360">
        <v>71902</v>
      </c>
      <c r="B360">
        <v>908</v>
      </c>
      <c r="C360">
        <v>29929</v>
      </c>
      <c r="D360" s="1">
        <v>39600</v>
      </c>
      <c r="E360">
        <v>2</v>
      </c>
      <c r="F360">
        <v>16.271999999999998</v>
      </c>
      <c r="G360">
        <v>0</v>
      </c>
      <c r="H360">
        <v>32.543999999999997</v>
      </c>
    </row>
    <row r="361" spans="1:8" x14ac:dyDescent="0.55000000000000004">
      <c r="A361">
        <v>71902</v>
      </c>
      <c r="B361">
        <v>712</v>
      </c>
      <c r="C361">
        <v>29929</v>
      </c>
      <c r="D361" s="1">
        <v>39600</v>
      </c>
      <c r="E361">
        <v>3</v>
      </c>
      <c r="F361">
        <v>5.3940000000000001</v>
      </c>
      <c r="G361">
        <v>0</v>
      </c>
      <c r="H361">
        <v>16.181999999999999</v>
      </c>
    </row>
    <row r="362" spans="1:8" x14ac:dyDescent="0.55000000000000004">
      <c r="A362">
        <v>71902</v>
      </c>
      <c r="B362">
        <v>925</v>
      </c>
      <c r="C362">
        <v>29929</v>
      </c>
      <c r="D362" s="1">
        <v>39600</v>
      </c>
      <c r="E362">
        <v>1</v>
      </c>
      <c r="F362">
        <v>149.874</v>
      </c>
      <c r="G362">
        <v>0</v>
      </c>
      <c r="H362">
        <v>149.874</v>
      </c>
    </row>
    <row r="363" spans="1:8" x14ac:dyDescent="0.55000000000000004">
      <c r="A363">
        <v>71902</v>
      </c>
      <c r="B363">
        <v>937</v>
      </c>
      <c r="C363">
        <v>29929</v>
      </c>
      <c r="D363" s="1">
        <v>39600</v>
      </c>
      <c r="E363">
        <v>2</v>
      </c>
      <c r="F363">
        <v>48.594000000000001</v>
      </c>
      <c r="G363">
        <v>0</v>
      </c>
      <c r="H363">
        <v>97.188000000000002</v>
      </c>
    </row>
    <row r="364" spans="1:8" x14ac:dyDescent="0.55000000000000004">
      <c r="A364">
        <v>71902</v>
      </c>
      <c r="B364">
        <v>992</v>
      </c>
      <c r="C364">
        <v>29929</v>
      </c>
      <c r="D364" s="1">
        <v>39600</v>
      </c>
      <c r="E364">
        <v>3</v>
      </c>
      <c r="F364">
        <v>323.99400000000003</v>
      </c>
      <c r="G364">
        <v>0</v>
      </c>
      <c r="H364">
        <v>971.98199999999997</v>
      </c>
    </row>
    <row r="365" spans="1:8" x14ac:dyDescent="0.55000000000000004">
      <c r="A365">
        <v>71902</v>
      </c>
      <c r="B365">
        <v>980</v>
      </c>
      <c r="C365">
        <v>29929</v>
      </c>
      <c r="D365" s="1">
        <v>39600</v>
      </c>
      <c r="E365">
        <v>3</v>
      </c>
      <c r="F365">
        <v>461.69400000000002</v>
      </c>
      <c r="G365">
        <v>0</v>
      </c>
      <c r="H365">
        <v>1385.0820000000001</v>
      </c>
    </row>
    <row r="366" spans="1:8" x14ac:dyDescent="0.55000000000000004">
      <c r="A366">
        <v>71902</v>
      </c>
      <c r="B366">
        <v>715</v>
      </c>
      <c r="C366">
        <v>29929</v>
      </c>
      <c r="D366" s="1">
        <v>39600</v>
      </c>
      <c r="E366">
        <v>3</v>
      </c>
      <c r="F366">
        <v>29.994</v>
      </c>
      <c r="G366">
        <v>0</v>
      </c>
      <c r="H366">
        <v>89.981999999999999</v>
      </c>
    </row>
    <row r="367" spans="1:8" x14ac:dyDescent="0.55000000000000004">
      <c r="A367">
        <v>71902</v>
      </c>
      <c r="B367">
        <v>935</v>
      </c>
      <c r="C367">
        <v>29929</v>
      </c>
      <c r="D367" s="1">
        <v>39600</v>
      </c>
      <c r="E367">
        <v>4</v>
      </c>
      <c r="F367">
        <v>24.294</v>
      </c>
      <c r="G367">
        <v>0</v>
      </c>
      <c r="H367">
        <v>97.176000000000002</v>
      </c>
    </row>
    <row r="368" spans="1:8" x14ac:dyDescent="0.55000000000000004">
      <c r="A368">
        <v>71902</v>
      </c>
      <c r="B368">
        <v>989</v>
      </c>
      <c r="C368">
        <v>29929</v>
      </c>
      <c r="D368" s="1">
        <v>39600</v>
      </c>
      <c r="E368">
        <v>1</v>
      </c>
      <c r="F368">
        <v>323.99400000000003</v>
      </c>
      <c r="G368">
        <v>0</v>
      </c>
      <c r="H368">
        <v>323.99400000000003</v>
      </c>
    </row>
    <row r="369" spans="1:8" x14ac:dyDescent="0.55000000000000004">
      <c r="A369">
        <v>71902</v>
      </c>
      <c r="B369">
        <v>982</v>
      </c>
      <c r="C369">
        <v>29929</v>
      </c>
      <c r="D369" s="1">
        <v>39600</v>
      </c>
      <c r="E369">
        <v>2</v>
      </c>
      <c r="F369">
        <v>461.69400000000002</v>
      </c>
      <c r="G369">
        <v>0</v>
      </c>
      <c r="H369">
        <v>923.38800000000003</v>
      </c>
    </row>
    <row r="370" spans="1:8" x14ac:dyDescent="0.55000000000000004">
      <c r="A370">
        <v>71902</v>
      </c>
      <c r="B370">
        <v>782</v>
      </c>
      <c r="C370">
        <v>29929</v>
      </c>
      <c r="D370" s="1">
        <v>39600</v>
      </c>
      <c r="E370">
        <v>8</v>
      </c>
      <c r="F370">
        <v>1376.9939999999999</v>
      </c>
      <c r="G370">
        <v>0</v>
      </c>
      <c r="H370">
        <v>11015.951999999999</v>
      </c>
    </row>
    <row r="371" spans="1:8" x14ac:dyDescent="0.55000000000000004">
      <c r="A371">
        <v>71902</v>
      </c>
      <c r="B371">
        <v>784</v>
      </c>
      <c r="C371">
        <v>29929</v>
      </c>
      <c r="D371" s="1">
        <v>39600</v>
      </c>
      <c r="E371">
        <v>2</v>
      </c>
      <c r="F371">
        <v>1376.9939999999999</v>
      </c>
      <c r="G371">
        <v>0</v>
      </c>
      <c r="H371">
        <v>2753.9879999999998</v>
      </c>
    </row>
    <row r="372" spans="1:8" x14ac:dyDescent="0.55000000000000004">
      <c r="A372">
        <v>71902</v>
      </c>
      <c r="B372">
        <v>810</v>
      </c>
      <c r="C372">
        <v>29929</v>
      </c>
      <c r="D372" s="1">
        <v>39600</v>
      </c>
      <c r="E372">
        <v>1</v>
      </c>
      <c r="F372">
        <v>72.162000000000006</v>
      </c>
      <c r="G372">
        <v>0</v>
      </c>
      <c r="H372">
        <v>72.162000000000006</v>
      </c>
    </row>
    <row r="373" spans="1:8" x14ac:dyDescent="0.55000000000000004">
      <c r="A373">
        <v>71902</v>
      </c>
      <c r="B373">
        <v>926</v>
      </c>
      <c r="C373">
        <v>29929</v>
      </c>
      <c r="D373" s="1">
        <v>39600</v>
      </c>
      <c r="E373">
        <v>1</v>
      </c>
      <c r="F373">
        <v>149.874</v>
      </c>
      <c r="G373">
        <v>0</v>
      </c>
      <c r="H373">
        <v>149.874</v>
      </c>
    </row>
    <row r="374" spans="1:8" x14ac:dyDescent="0.55000000000000004">
      <c r="A374">
        <v>71902</v>
      </c>
      <c r="B374">
        <v>714</v>
      </c>
      <c r="C374">
        <v>29929</v>
      </c>
      <c r="D374" s="1">
        <v>39600</v>
      </c>
      <c r="E374">
        <v>3</v>
      </c>
      <c r="F374">
        <v>29.994</v>
      </c>
      <c r="G374">
        <v>0</v>
      </c>
      <c r="H374">
        <v>89.981999999999999</v>
      </c>
    </row>
    <row r="375" spans="1:8" x14ac:dyDescent="0.55000000000000004">
      <c r="A375">
        <v>71902</v>
      </c>
      <c r="B375">
        <v>870</v>
      </c>
      <c r="C375">
        <v>29929</v>
      </c>
      <c r="D375" s="1">
        <v>39600</v>
      </c>
      <c r="E375">
        <v>7</v>
      </c>
      <c r="F375">
        <v>2.9940000000000002</v>
      </c>
      <c r="G375">
        <v>0</v>
      </c>
      <c r="H375">
        <v>20.957999999999998</v>
      </c>
    </row>
    <row r="376" spans="1:8" x14ac:dyDescent="0.55000000000000004">
      <c r="A376">
        <v>71902</v>
      </c>
      <c r="B376">
        <v>876</v>
      </c>
      <c r="C376">
        <v>29929</v>
      </c>
      <c r="D376" s="1">
        <v>39600</v>
      </c>
      <c r="E376">
        <v>4</v>
      </c>
      <c r="F376">
        <v>72</v>
      </c>
      <c r="G376">
        <v>0</v>
      </c>
      <c r="H376">
        <v>288</v>
      </c>
    </row>
    <row r="377" spans="1:8" x14ac:dyDescent="0.55000000000000004">
      <c r="A377">
        <v>71902</v>
      </c>
      <c r="B377">
        <v>877</v>
      </c>
      <c r="C377">
        <v>29929</v>
      </c>
      <c r="D377" s="1">
        <v>39600</v>
      </c>
      <c r="E377">
        <v>5</v>
      </c>
      <c r="F377">
        <v>4.7699999999999996</v>
      </c>
      <c r="G377">
        <v>0</v>
      </c>
      <c r="H377">
        <v>23.85</v>
      </c>
    </row>
    <row r="378" spans="1:8" x14ac:dyDescent="0.55000000000000004">
      <c r="A378">
        <v>71902</v>
      </c>
      <c r="B378">
        <v>707</v>
      </c>
      <c r="C378">
        <v>29929</v>
      </c>
      <c r="D378" s="1">
        <v>39600</v>
      </c>
      <c r="E378">
        <v>2</v>
      </c>
      <c r="F378">
        <v>20.994</v>
      </c>
      <c r="G378">
        <v>0</v>
      </c>
      <c r="H378">
        <v>41.988</v>
      </c>
    </row>
    <row r="379" spans="1:8" x14ac:dyDescent="0.55000000000000004">
      <c r="A379">
        <v>71902</v>
      </c>
      <c r="B379">
        <v>993</v>
      </c>
      <c r="C379">
        <v>29929</v>
      </c>
      <c r="D379" s="1">
        <v>39600</v>
      </c>
      <c r="E379">
        <v>1</v>
      </c>
      <c r="F379">
        <v>323.99400000000003</v>
      </c>
      <c r="G379">
        <v>0</v>
      </c>
      <c r="H379">
        <v>323.99400000000003</v>
      </c>
    </row>
    <row r="380" spans="1:8" x14ac:dyDescent="0.55000000000000004">
      <c r="A380">
        <v>71902</v>
      </c>
      <c r="B380">
        <v>864</v>
      </c>
      <c r="C380">
        <v>29929</v>
      </c>
      <c r="D380" s="1">
        <v>39600</v>
      </c>
      <c r="E380">
        <v>6</v>
      </c>
      <c r="F380">
        <v>38.1</v>
      </c>
      <c r="G380">
        <v>0</v>
      </c>
      <c r="H380">
        <v>228.6</v>
      </c>
    </row>
    <row r="381" spans="1:8" x14ac:dyDescent="0.55000000000000004">
      <c r="A381">
        <v>71902</v>
      </c>
      <c r="B381">
        <v>867</v>
      </c>
      <c r="C381">
        <v>29929</v>
      </c>
      <c r="D381" s="1">
        <v>39600</v>
      </c>
      <c r="E381">
        <v>7</v>
      </c>
      <c r="F381">
        <v>41.994</v>
      </c>
      <c r="G381">
        <v>0</v>
      </c>
      <c r="H381">
        <v>293.95800000000003</v>
      </c>
    </row>
    <row r="382" spans="1:8" x14ac:dyDescent="0.55000000000000004">
      <c r="A382">
        <v>71902</v>
      </c>
      <c r="B382">
        <v>809</v>
      </c>
      <c r="C382">
        <v>29929</v>
      </c>
      <c r="D382" s="1">
        <v>39600</v>
      </c>
      <c r="E382">
        <v>2</v>
      </c>
      <c r="F382">
        <v>37.152000000000001</v>
      </c>
      <c r="G382">
        <v>0</v>
      </c>
      <c r="H382">
        <v>74.304000000000002</v>
      </c>
    </row>
    <row r="383" spans="1:8" x14ac:dyDescent="0.55000000000000004">
      <c r="A383">
        <v>71902</v>
      </c>
      <c r="B383">
        <v>880</v>
      </c>
      <c r="C383">
        <v>29929</v>
      </c>
      <c r="D383" s="1">
        <v>39600</v>
      </c>
      <c r="E383">
        <v>5</v>
      </c>
      <c r="F383">
        <v>32.994</v>
      </c>
      <c r="G383">
        <v>0</v>
      </c>
      <c r="H383">
        <v>164.97</v>
      </c>
    </row>
    <row r="384" spans="1:8" x14ac:dyDescent="0.55000000000000004">
      <c r="A384">
        <v>71902</v>
      </c>
      <c r="B384">
        <v>936</v>
      </c>
      <c r="C384">
        <v>29929</v>
      </c>
      <c r="D384" s="1">
        <v>39600</v>
      </c>
      <c r="E384">
        <v>1</v>
      </c>
      <c r="F384">
        <v>37.253999999999998</v>
      </c>
      <c r="G384">
        <v>0</v>
      </c>
      <c r="H384">
        <v>37.253999999999998</v>
      </c>
    </row>
    <row r="385" spans="1:8" x14ac:dyDescent="0.55000000000000004">
      <c r="A385">
        <v>71902</v>
      </c>
      <c r="B385">
        <v>708</v>
      </c>
      <c r="C385">
        <v>29929</v>
      </c>
      <c r="D385" s="1">
        <v>39600</v>
      </c>
      <c r="E385">
        <v>4</v>
      </c>
      <c r="F385">
        <v>20.994</v>
      </c>
      <c r="G385">
        <v>0</v>
      </c>
      <c r="H385">
        <v>83.975999999999999</v>
      </c>
    </row>
    <row r="386" spans="1:8" x14ac:dyDescent="0.55000000000000004">
      <c r="A386">
        <v>71902</v>
      </c>
      <c r="B386">
        <v>779</v>
      </c>
      <c r="C386">
        <v>29929</v>
      </c>
      <c r="D386" s="1">
        <v>39600</v>
      </c>
      <c r="E386">
        <v>3</v>
      </c>
      <c r="F386">
        <v>1391.9939999999999</v>
      </c>
      <c r="G386">
        <v>0</v>
      </c>
      <c r="H386">
        <v>4175.982</v>
      </c>
    </row>
    <row r="387" spans="1:8" x14ac:dyDescent="0.55000000000000004">
      <c r="A387">
        <v>71902</v>
      </c>
      <c r="B387">
        <v>991</v>
      </c>
      <c r="C387">
        <v>29929</v>
      </c>
      <c r="D387" s="1">
        <v>39600</v>
      </c>
      <c r="E387">
        <v>2</v>
      </c>
      <c r="F387">
        <v>323.99400000000003</v>
      </c>
      <c r="G387">
        <v>0</v>
      </c>
      <c r="H387">
        <v>647.98800000000006</v>
      </c>
    </row>
    <row r="388" spans="1:8" x14ac:dyDescent="0.55000000000000004">
      <c r="A388">
        <v>71902</v>
      </c>
      <c r="B388">
        <v>883</v>
      </c>
      <c r="C388">
        <v>29929</v>
      </c>
      <c r="D388" s="1">
        <v>39600</v>
      </c>
      <c r="E388">
        <v>5</v>
      </c>
      <c r="F388">
        <v>32.393999999999998</v>
      </c>
      <c r="G388">
        <v>0</v>
      </c>
      <c r="H388">
        <v>161.97</v>
      </c>
    </row>
    <row r="389" spans="1:8" x14ac:dyDescent="0.55000000000000004">
      <c r="A389">
        <v>71902</v>
      </c>
      <c r="B389">
        <v>910</v>
      </c>
      <c r="C389">
        <v>29929</v>
      </c>
      <c r="D389" s="1">
        <v>39600</v>
      </c>
      <c r="E389">
        <v>1</v>
      </c>
      <c r="F389">
        <v>31.584</v>
      </c>
      <c r="G389">
        <v>0</v>
      </c>
      <c r="H389">
        <v>31.584</v>
      </c>
    </row>
    <row r="390" spans="1:8" x14ac:dyDescent="0.55000000000000004">
      <c r="A390">
        <v>71902</v>
      </c>
      <c r="B390">
        <v>881</v>
      </c>
      <c r="C390">
        <v>29929</v>
      </c>
      <c r="D390" s="1">
        <v>39600</v>
      </c>
      <c r="E390">
        <v>2</v>
      </c>
      <c r="F390">
        <v>32.393999999999998</v>
      </c>
      <c r="G390">
        <v>0</v>
      </c>
      <c r="H390">
        <v>64.787999999999997</v>
      </c>
    </row>
    <row r="391" spans="1:8" x14ac:dyDescent="0.55000000000000004">
      <c r="A391">
        <v>71902</v>
      </c>
      <c r="B391">
        <v>711</v>
      </c>
      <c r="C391">
        <v>29929</v>
      </c>
      <c r="D391" s="1">
        <v>39600</v>
      </c>
      <c r="E391">
        <v>7</v>
      </c>
      <c r="F391">
        <v>20.994</v>
      </c>
      <c r="G391">
        <v>0</v>
      </c>
      <c r="H391">
        <v>146.958</v>
      </c>
    </row>
    <row r="392" spans="1:8" x14ac:dyDescent="0.55000000000000004">
      <c r="A392">
        <v>71902</v>
      </c>
      <c r="B392">
        <v>748</v>
      </c>
      <c r="C392">
        <v>29929</v>
      </c>
      <c r="D392" s="1">
        <v>39600</v>
      </c>
      <c r="E392">
        <v>7</v>
      </c>
      <c r="F392">
        <v>818.7</v>
      </c>
      <c r="G392">
        <v>0</v>
      </c>
      <c r="H392">
        <v>5730.9</v>
      </c>
    </row>
    <row r="393" spans="1:8" x14ac:dyDescent="0.55000000000000004">
      <c r="A393">
        <v>71902</v>
      </c>
      <c r="B393">
        <v>884</v>
      </c>
      <c r="C393">
        <v>29929</v>
      </c>
      <c r="D393" s="1">
        <v>39600</v>
      </c>
      <c r="E393">
        <v>5</v>
      </c>
      <c r="F393">
        <v>32.393999999999998</v>
      </c>
      <c r="G393">
        <v>0</v>
      </c>
      <c r="H393">
        <v>161.97</v>
      </c>
    </row>
    <row r="394" spans="1:8" x14ac:dyDescent="0.55000000000000004">
      <c r="A394">
        <v>71902</v>
      </c>
      <c r="B394">
        <v>918</v>
      </c>
      <c r="C394">
        <v>29929</v>
      </c>
      <c r="D394" s="1">
        <v>39600</v>
      </c>
      <c r="E394">
        <v>2</v>
      </c>
      <c r="F394">
        <v>158.43</v>
      </c>
      <c r="G394">
        <v>0</v>
      </c>
      <c r="H394">
        <v>316.86</v>
      </c>
    </row>
    <row r="395" spans="1:8" x14ac:dyDescent="0.55000000000000004">
      <c r="A395">
        <v>71902</v>
      </c>
      <c r="B395">
        <v>905</v>
      </c>
      <c r="C395">
        <v>29929</v>
      </c>
      <c r="D395" s="1">
        <v>39600</v>
      </c>
      <c r="E395">
        <v>3</v>
      </c>
      <c r="F395">
        <v>218.45400000000001</v>
      </c>
      <c r="G395">
        <v>0</v>
      </c>
      <c r="H395">
        <v>655.36199999999997</v>
      </c>
    </row>
    <row r="396" spans="1:8" x14ac:dyDescent="0.55000000000000004">
      <c r="A396">
        <v>71902</v>
      </c>
      <c r="B396">
        <v>983</v>
      </c>
      <c r="C396">
        <v>29929</v>
      </c>
      <c r="D396" s="1">
        <v>39600</v>
      </c>
      <c r="E396">
        <v>4</v>
      </c>
      <c r="F396">
        <v>461.69400000000002</v>
      </c>
      <c r="G396">
        <v>0</v>
      </c>
      <c r="H396">
        <v>1846.7760000000001</v>
      </c>
    </row>
    <row r="397" spans="1:8" x14ac:dyDescent="0.55000000000000004">
      <c r="A397">
        <v>71902</v>
      </c>
      <c r="B397">
        <v>865</v>
      </c>
      <c r="C397">
        <v>29929</v>
      </c>
      <c r="D397" s="1">
        <v>39600</v>
      </c>
      <c r="E397">
        <v>6</v>
      </c>
      <c r="F397">
        <v>38.1</v>
      </c>
      <c r="G397">
        <v>0</v>
      </c>
      <c r="H397">
        <v>228.6</v>
      </c>
    </row>
    <row r="398" spans="1:8" x14ac:dyDescent="0.55000000000000004">
      <c r="A398">
        <v>71915</v>
      </c>
      <c r="B398">
        <v>836</v>
      </c>
      <c r="C398">
        <v>29638</v>
      </c>
      <c r="D398" s="1">
        <v>39600</v>
      </c>
      <c r="E398">
        <v>3</v>
      </c>
      <c r="F398">
        <v>356.89800000000002</v>
      </c>
      <c r="G398">
        <v>0</v>
      </c>
      <c r="H398">
        <v>1070.694</v>
      </c>
    </row>
    <row r="399" spans="1:8" x14ac:dyDescent="0.55000000000000004">
      <c r="A399">
        <v>71915</v>
      </c>
      <c r="B399">
        <v>738</v>
      </c>
      <c r="C399">
        <v>29638</v>
      </c>
      <c r="D399" s="1">
        <v>39600</v>
      </c>
      <c r="E399">
        <v>2</v>
      </c>
      <c r="F399">
        <v>202.33199999999999</v>
      </c>
      <c r="G399">
        <v>0</v>
      </c>
      <c r="H399">
        <v>404.66399999999999</v>
      </c>
    </row>
    <row r="400" spans="1:8" x14ac:dyDescent="0.55000000000000004">
      <c r="A400">
        <v>71915</v>
      </c>
      <c r="B400">
        <v>938</v>
      </c>
      <c r="C400">
        <v>29638</v>
      </c>
      <c r="D400" s="1">
        <v>39600</v>
      </c>
      <c r="E400">
        <v>4</v>
      </c>
      <c r="F400">
        <v>24.294</v>
      </c>
      <c r="G400">
        <v>0</v>
      </c>
      <c r="H400">
        <v>97.176000000000002</v>
      </c>
    </row>
    <row r="401" spans="1:8" x14ac:dyDescent="0.55000000000000004">
      <c r="A401">
        <v>71915</v>
      </c>
      <c r="B401">
        <v>939</v>
      </c>
      <c r="C401">
        <v>29638</v>
      </c>
      <c r="D401" s="1">
        <v>39600</v>
      </c>
      <c r="E401">
        <v>3</v>
      </c>
      <c r="F401">
        <v>37.253999999999998</v>
      </c>
      <c r="G401">
        <v>0</v>
      </c>
      <c r="H401">
        <v>111.762</v>
      </c>
    </row>
    <row r="402" spans="1:8" x14ac:dyDescent="0.55000000000000004">
      <c r="A402">
        <v>71915</v>
      </c>
      <c r="B402">
        <v>940</v>
      </c>
      <c r="C402">
        <v>29638</v>
      </c>
      <c r="D402" s="1">
        <v>39600</v>
      </c>
      <c r="E402">
        <v>1</v>
      </c>
      <c r="F402">
        <v>48.594000000000001</v>
      </c>
      <c r="G402">
        <v>0</v>
      </c>
      <c r="H402">
        <v>48.594000000000001</v>
      </c>
    </row>
    <row r="403" spans="1:8" x14ac:dyDescent="0.55000000000000004">
      <c r="A403">
        <v>71917</v>
      </c>
      <c r="B403">
        <v>875</v>
      </c>
      <c r="C403">
        <v>30025</v>
      </c>
      <c r="D403" s="1">
        <v>39600</v>
      </c>
      <c r="E403">
        <v>7</v>
      </c>
      <c r="F403">
        <v>5.3940000000000001</v>
      </c>
      <c r="G403">
        <v>0</v>
      </c>
      <c r="H403">
        <v>37.758000000000003</v>
      </c>
    </row>
    <row r="404" spans="1:8" x14ac:dyDescent="0.55000000000000004">
      <c r="A404">
        <v>71920</v>
      </c>
      <c r="B404">
        <v>973</v>
      </c>
      <c r="C404">
        <v>29982</v>
      </c>
      <c r="D404" s="1">
        <v>39600</v>
      </c>
      <c r="E404">
        <v>1</v>
      </c>
      <c r="F404">
        <v>1020.5940000000001</v>
      </c>
      <c r="G404">
        <v>0</v>
      </c>
      <c r="H404">
        <v>1020.5940000000001</v>
      </c>
    </row>
    <row r="405" spans="1:8" x14ac:dyDescent="0.55000000000000004">
      <c r="A405">
        <v>71920</v>
      </c>
      <c r="B405">
        <v>938</v>
      </c>
      <c r="C405">
        <v>29982</v>
      </c>
      <c r="D405" s="1">
        <v>39600</v>
      </c>
      <c r="E405">
        <v>3</v>
      </c>
      <c r="F405">
        <v>24.294</v>
      </c>
      <c r="G405">
        <v>0</v>
      </c>
      <c r="H405">
        <v>72.882000000000005</v>
      </c>
    </row>
    <row r="406" spans="1:8" x14ac:dyDescent="0.55000000000000004">
      <c r="A406">
        <v>71920</v>
      </c>
      <c r="B406">
        <v>976</v>
      </c>
      <c r="C406">
        <v>29982</v>
      </c>
      <c r="D406" s="1">
        <v>39600</v>
      </c>
      <c r="E406">
        <v>1</v>
      </c>
      <c r="F406">
        <v>1020.5940000000001</v>
      </c>
      <c r="G406">
        <v>0</v>
      </c>
      <c r="H406">
        <v>1020.5940000000001</v>
      </c>
    </row>
    <row r="407" spans="1:8" x14ac:dyDescent="0.55000000000000004">
      <c r="A407">
        <v>71920</v>
      </c>
      <c r="B407">
        <v>884</v>
      </c>
      <c r="C407">
        <v>29982</v>
      </c>
      <c r="D407" s="1">
        <v>39600</v>
      </c>
      <c r="E407">
        <v>7</v>
      </c>
      <c r="F407">
        <v>32.393999999999998</v>
      </c>
      <c r="G407">
        <v>0</v>
      </c>
      <c r="H407">
        <v>226.75800000000001</v>
      </c>
    </row>
    <row r="408" spans="1:8" x14ac:dyDescent="0.55000000000000004">
      <c r="A408">
        <v>71920</v>
      </c>
      <c r="B408">
        <v>864</v>
      </c>
      <c r="C408">
        <v>29982</v>
      </c>
      <c r="D408" s="1">
        <v>39600</v>
      </c>
      <c r="E408">
        <v>3</v>
      </c>
      <c r="F408">
        <v>38.1</v>
      </c>
      <c r="G408">
        <v>0</v>
      </c>
      <c r="H408">
        <v>114.3</v>
      </c>
    </row>
    <row r="409" spans="1:8" x14ac:dyDescent="0.55000000000000004">
      <c r="A409">
        <v>71920</v>
      </c>
      <c r="B409">
        <v>876</v>
      </c>
      <c r="C409">
        <v>29982</v>
      </c>
      <c r="D409" s="1">
        <v>39600</v>
      </c>
      <c r="E409">
        <v>1</v>
      </c>
      <c r="F409">
        <v>72</v>
      </c>
      <c r="G409">
        <v>0</v>
      </c>
      <c r="H409">
        <v>72</v>
      </c>
    </row>
    <row r="410" spans="1:8" x14ac:dyDescent="0.55000000000000004">
      <c r="A410">
        <v>71923</v>
      </c>
      <c r="B410">
        <v>870</v>
      </c>
      <c r="C410">
        <v>29781</v>
      </c>
      <c r="D410" s="1">
        <v>39600</v>
      </c>
      <c r="E410">
        <v>1</v>
      </c>
      <c r="F410">
        <v>2.9940000000000002</v>
      </c>
      <c r="G410">
        <v>0</v>
      </c>
      <c r="H410">
        <v>2.9940000000000002</v>
      </c>
    </row>
    <row r="411" spans="1:8" x14ac:dyDescent="0.55000000000000004">
      <c r="A411">
        <v>71923</v>
      </c>
      <c r="B411">
        <v>874</v>
      </c>
      <c r="C411">
        <v>29781</v>
      </c>
      <c r="D411" s="1">
        <v>39600</v>
      </c>
      <c r="E411">
        <v>4</v>
      </c>
      <c r="F411">
        <v>5.3940000000000001</v>
      </c>
      <c r="G411">
        <v>0</v>
      </c>
      <c r="H411">
        <v>21.576000000000001</v>
      </c>
    </row>
    <row r="412" spans="1:8" x14ac:dyDescent="0.55000000000000004">
      <c r="A412">
        <v>71935</v>
      </c>
      <c r="B412">
        <v>874</v>
      </c>
      <c r="C412">
        <v>29531</v>
      </c>
      <c r="D412" s="1">
        <v>39600</v>
      </c>
      <c r="E412">
        <v>3</v>
      </c>
      <c r="F412">
        <v>5.3940000000000001</v>
      </c>
      <c r="G412">
        <v>0</v>
      </c>
      <c r="H412">
        <v>16.181999999999999</v>
      </c>
    </row>
    <row r="413" spans="1:8" x14ac:dyDescent="0.55000000000000004">
      <c r="A413">
        <v>71935</v>
      </c>
      <c r="B413">
        <v>938</v>
      </c>
      <c r="C413">
        <v>29531</v>
      </c>
      <c r="D413" s="1">
        <v>39600</v>
      </c>
      <c r="E413">
        <v>1</v>
      </c>
      <c r="F413">
        <v>24.294</v>
      </c>
      <c r="G413">
        <v>0</v>
      </c>
      <c r="H413">
        <v>24.294</v>
      </c>
    </row>
    <row r="414" spans="1:8" x14ac:dyDescent="0.55000000000000004">
      <c r="A414">
        <v>71935</v>
      </c>
      <c r="B414">
        <v>973</v>
      </c>
      <c r="C414">
        <v>29531</v>
      </c>
      <c r="D414" s="1">
        <v>39600</v>
      </c>
      <c r="E414">
        <v>3</v>
      </c>
      <c r="F414">
        <v>1020.5940000000001</v>
      </c>
      <c r="G414">
        <v>0</v>
      </c>
      <c r="H414">
        <v>3061.7820000000002</v>
      </c>
    </row>
    <row r="415" spans="1:8" x14ac:dyDescent="0.55000000000000004">
      <c r="A415">
        <v>71935</v>
      </c>
      <c r="B415">
        <v>976</v>
      </c>
      <c r="C415">
        <v>29531</v>
      </c>
      <c r="D415" s="1">
        <v>39600</v>
      </c>
      <c r="E415">
        <v>2</v>
      </c>
      <c r="F415">
        <v>1020.5940000000001</v>
      </c>
      <c r="G415">
        <v>0</v>
      </c>
      <c r="H415">
        <v>2041.1880000000001</v>
      </c>
    </row>
    <row r="416" spans="1:8" x14ac:dyDescent="0.55000000000000004">
      <c r="A416">
        <v>71935</v>
      </c>
      <c r="B416">
        <v>998</v>
      </c>
      <c r="C416">
        <v>29531</v>
      </c>
      <c r="D416" s="1">
        <v>39600</v>
      </c>
      <c r="E416">
        <v>1</v>
      </c>
      <c r="F416">
        <v>323.99400000000003</v>
      </c>
      <c r="G416">
        <v>0</v>
      </c>
      <c r="H416">
        <v>323.99400000000003</v>
      </c>
    </row>
    <row r="417" spans="1:8" x14ac:dyDescent="0.55000000000000004">
      <c r="A417">
        <v>71936</v>
      </c>
      <c r="B417">
        <v>944</v>
      </c>
      <c r="C417">
        <v>30050</v>
      </c>
      <c r="D417" s="1">
        <v>39600</v>
      </c>
      <c r="E417">
        <v>3</v>
      </c>
      <c r="F417">
        <v>158.43</v>
      </c>
      <c r="G417">
        <v>0</v>
      </c>
      <c r="H417">
        <v>475.29</v>
      </c>
    </row>
    <row r="418" spans="1:8" x14ac:dyDescent="0.55000000000000004">
      <c r="A418">
        <v>71936</v>
      </c>
      <c r="B418">
        <v>996</v>
      </c>
      <c r="C418">
        <v>30050</v>
      </c>
      <c r="D418" s="1">
        <v>39600</v>
      </c>
      <c r="E418">
        <v>4</v>
      </c>
      <c r="F418">
        <v>72.894000000000005</v>
      </c>
      <c r="G418">
        <v>0</v>
      </c>
      <c r="H418">
        <v>291.57600000000002</v>
      </c>
    </row>
    <row r="419" spans="1:8" x14ac:dyDescent="0.55000000000000004">
      <c r="A419">
        <v>71936</v>
      </c>
      <c r="B419">
        <v>707</v>
      </c>
      <c r="C419">
        <v>30050</v>
      </c>
      <c r="D419" s="1">
        <v>39600</v>
      </c>
      <c r="E419">
        <v>1</v>
      </c>
      <c r="F419">
        <v>20.994</v>
      </c>
      <c r="G419">
        <v>0</v>
      </c>
      <c r="H419">
        <v>20.994</v>
      </c>
    </row>
    <row r="420" spans="1:8" x14ac:dyDescent="0.55000000000000004">
      <c r="A420">
        <v>71936</v>
      </c>
      <c r="B420">
        <v>926</v>
      </c>
      <c r="C420">
        <v>30050</v>
      </c>
      <c r="D420" s="1">
        <v>39600</v>
      </c>
      <c r="E420">
        <v>1</v>
      </c>
      <c r="F420">
        <v>149.874</v>
      </c>
      <c r="G420">
        <v>0</v>
      </c>
      <c r="H420">
        <v>149.874</v>
      </c>
    </row>
    <row r="421" spans="1:8" x14ac:dyDescent="0.55000000000000004">
      <c r="A421">
        <v>71936</v>
      </c>
      <c r="B421">
        <v>808</v>
      </c>
      <c r="C421">
        <v>30050</v>
      </c>
      <c r="D421" s="1">
        <v>39600</v>
      </c>
      <c r="E421">
        <v>4</v>
      </c>
      <c r="F421">
        <v>26.724</v>
      </c>
      <c r="G421">
        <v>0</v>
      </c>
      <c r="H421">
        <v>106.896</v>
      </c>
    </row>
    <row r="422" spans="1:8" x14ac:dyDescent="0.55000000000000004">
      <c r="A422">
        <v>71936</v>
      </c>
      <c r="B422">
        <v>992</v>
      </c>
      <c r="C422">
        <v>30050</v>
      </c>
      <c r="D422" s="1">
        <v>39600</v>
      </c>
      <c r="E422">
        <v>5</v>
      </c>
      <c r="F422">
        <v>323.99400000000003</v>
      </c>
      <c r="G422">
        <v>0</v>
      </c>
      <c r="H422">
        <v>1619.97</v>
      </c>
    </row>
    <row r="423" spans="1:8" x14ac:dyDescent="0.55000000000000004">
      <c r="A423">
        <v>71936</v>
      </c>
      <c r="B423">
        <v>951</v>
      </c>
      <c r="C423">
        <v>30050</v>
      </c>
      <c r="D423" s="1">
        <v>39600</v>
      </c>
      <c r="E423">
        <v>6</v>
      </c>
      <c r="F423">
        <v>242.994</v>
      </c>
      <c r="G423">
        <v>0</v>
      </c>
      <c r="H423">
        <v>1457.9639999999999</v>
      </c>
    </row>
    <row r="424" spans="1:8" x14ac:dyDescent="0.55000000000000004">
      <c r="A424">
        <v>71936</v>
      </c>
      <c r="B424">
        <v>780</v>
      </c>
      <c r="C424">
        <v>30050</v>
      </c>
      <c r="D424" s="1">
        <v>39600</v>
      </c>
      <c r="E424">
        <v>3</v>
      </c>
      <c r="F424">
        <v>1391.9939999999999</v>
      </c>
      <c r="G424">
        <v>0</v>
      </c>
      <c r="H424">
        <v>4175.982</v>
      </c>
    </row>
    <row r="425" spans="1:8" x14ac:dyDescent="0.55000000000000004">
      <c r="A425">
        <v>71936</v>
      </c>
      <c r="B425">
        <v>905</v>
      </c>
      <c r="C425">
        <v>30050</v>
      </c>
      <c r="D425" s="1">
        <v>39600</v>
      </c>
      <c r="E425">
        <v>2</v>
      </c>
      <c r="F425">
        <v>218.45400000000001</v>
      </c>
      <c r="G425">
        <v>0</v>
      </c>
      <c r="H425">
        <v>436.90800000000002</v>
      </c>
    </row>
    <row r="426" spans="1:8" x14ac:dyDescent="0.55000000000000004">
      <c r="A426">
        <v>71936</v>
      </c>
      <c r="B426">
        <v>747</v>
      </c>
      <c r="C426">
        <v>30050</v>
      </c>
      <c r="D426" s="1">
        <v>39600</v>
      </c>
      <c r="E426">
        <v>4</v>
      </c>
      <c r="F426">
        <v>809.76</v>
      </c>
      <c r="G426">
        <v>0</v>
      </c>
      <c r="H426">
        <v>3239.04</v>
      </c>
    </row>
    <row r="427" spans="1:8" x14ac:dyDescent="0.55000000000000004">
      <c r="A427">
        <v>71936</v>
      </c>
      <c r="B427">
        <v>935</v>
      </c>
      <c r="C427">
        <v>30050</v>
      </c>
      <c r="D427" s="1">
        <v>39600</v>
      </c>
      <c r="E427">
        <v>3</v>
      </c>
      <c r="F427">
        <v>24.294</v>
      </c>
      <c r="G427">
        <v>0</v>
      </c>
      <c r="H427">
        <v>72.882000000000005</v>
      </c>
    </row>
    <row r="428" spans="1:8" x14ac:dyDescent="0.55000000000000004">
      <c r="A428">
        <v>71936</v>
      </c>
      <c r="B428">
        <v>945</v>
      </c>
      <c r="C428">
        <v>30050</v>
      </c>
      <c r="D428" s="1">
        <v>39600</v>
      </c>
      <c r="E428">
        <v>5</v>
      </c>
      <c r="F428">
        <v>54.893999999999998</v>
      </c>
      <c r="G428">
        <v>0</v>
      </c>
      <c r="H428">
        <v>274.47000000000003</v>
      </c>
    </row>
    <row r="429" spans="1:8" x14ac:dyDescent="0.55000000000000004">
      <c r="A429">
        <v>71936</v>
      </c>
      <c r="B429">
        <v>924</v>
      </c>
      <c r="C429">
        <v>30050</v>
      </c>
      <c r="D429" s="1">
        <v>39600</v>
      </c>
      <c r="E429">
        <v>5</v>
      </c>
      <c r="F429">
        <v>149.874</v>
      </c>
      <c r="G429">
        <v>0</v>
      </c>
      <c r="H429">
        <v>749.37</v>
      </c>
    </row>
    <row r="430" spans="1:8" x14ac:dyDescent="0.55000000000000004">
      <c r="A430">
        <v>71936</v>
      </c>
      <c r="B430">
        <v>783</v>
      </c>
      <c r="C430">
        <v>30050</v>
      </c>
      <c r="D430" s="1">
        <v>39600</v>
      </c>
      <c r="E430">
        <v>10</v>
      </c>
      <c r="F430">
        <v>1376.9939999999999</v>
      </c>
      <c r="G430">
        <v>0</v>
      </c>
      <c r="H430">
        <v>13769.94</v>
      </c>
    </row>
    <row r="431" spans="1:8" x14ac:dyDescent="0.55000000000000004">
      <c r="A431">
        <v>71936</v>
      </c>
      <c r="B431">
        <v>784</v>
      </c>
      <c r="C431">
        <v>30050</v>
      </c>
      <c r="D431" s="1">
        <v>39600</v>
      </c>
      <c r="E431">
        <v>5</v>
      </c>
      <c r="F431">
        <v>1376.9939999999999</v>
      </c>
      <c r="G431">
        <v>0</v>
      </c>
      <c r="H431">
        <v>6884.97</v>
      </c>
    </row>
    <row r="432" spans="1:8" x14ac:dyDescent="0.55000000000000004">
      <c r="A432">
        <v>71936</v>
      </c>
      <c r="B432">
        <v>748</v>
      </c>
      <c r="C432">
        <v>30050</v>
      </c>
      <c r="D432" s="1">
        <v>39600</v>
      </c>
      <c r="E432">
        <v>5</v>
      </c>
      <c r="F432">
        <v>818.7</v>
      </c>
      <c r="G432">
        <v>0</v>
      </c>
      <c r="H432">
        <v>4093.5</v>
      </c>
    </row>
    <row r="433" spans="1:8" x14ac:dyDescent="0.55000000000000004">
      <c r="A433">
        <v>71936</v>
      </c>
      <c r="B433">
        <v>981</v>
      </c>
      <c r="C433">
        <v>30050</v>
      </c>
      <c r="D433" s="1">
        <v>39600</v>
      </c>
      <c r="E433">
        <v>2</v>
      </c>
      <c r="F433">
        <v>461.69400000000002</v>
      </c>
      <c r="G433">
        <v>0</v>
      </c>
      <c r="H433">
        <v>923.38800000000003</v>
      </c>
    </row>
    <row r="434" spans="1:8" x14ac:dyDescent="0.55000000000000004">
      <c r="A434">
        <v>71936</v>
      </c>
      <c r="B434">
        <v>894</v>
      </c>
      <c r="C434">
        <v>30050</v>
      </c>
      <c r="D434" s="1">
        <v>39600</v>
      </c>
      <c r="E434">
        <v>5</v>
      </c>
      <c r="F434">
        <v>72.876000000000005</v>
      </c>
      <c r="G434">
        <v>0</v>
      </c>
      <c r="H434">
        <v>364.38</v>
      </c>
    </row>
    <row r="435" spans="1:8" x14ac:dyDescent="0.55000000000000004">
      <c r="A435">
        <v>71936</v>
      </c>
      <c r="B435">
        <v>779</v>
      </c>
      <c r="C435">
        <v>30050</v>
      </c>
      <c r="D435" s="1">
        <v>39600</v>
      </c>
      <c r="E435">
        <v>4</v>
      </c>
      <c r="F435">
        <v>1391.9939999999999</v>
      </c>
      <c r="G435">
        <v>0</v>
      </c>
      <c r="H435">
        <v>5567.9759999999997</v>
      </c>
    </row>
    <row r="436" spans="1:8" x14ac:dyDescent="0.55000000000000004">
      <c r="A436">
        <v>71936</v>
      </c>
      <c r="B436">
        <v>782</v>
      </c>
      <c r="C436">
        <v>30050</v>
      </c>
      <c r="D436" s="1">
        <v>39600</v>
      </c>
      <c r="E436">
        <v>8</v>
      </c>
      <c r="F436">
        <v>1376.9939999999999</v>
      </c>
      <c r="G436">
        <v>0</v>
      </c>
      <c r="H436">
        <v>11015.951999999999</v>
      </c>
    </row>
    <row r="437" spans="1:8" x14ac:dyDescent="0.55000000000000004">
      <c r="A437">
        <v>71936</v>
      </c>
      <c r="B437">
        <v>869</v>
      </c>
      <c r="C437">
        <v>30050</v>
      </c>
      <c r="D437" s="1">
        <v>39600</v>
      </c>
      <c r="E437">
        <v>8</v>
      </c>
      <c r="F437">
        <v>41.994</v>
      </c>
      <c r="G437">
        <v>0</v>
      </c>
      <c r="H437">
        <v>335.952</v>
      </c>
    </row>
    <row r="438" spans="1:8" x14ac:dyDescent="0.55000000000000004">
      <c r="A438">
        <v>71936</v>
      </c>
      <c r="B438">
        <v>952</v>
      </c>
      <c r="C438">
        <v>30050</v>
      </c>
      <c r="D438" s="1">
        <v>39600</v>
      </c>
      <c r="E438">
        <v>3</v>
      </c>
      <c r="F438">
        <v>12.144</v>
      </c>
      <c r="G438">
        <v>0</v>
      </c>
      <c r="H438">
        <v>36.432000000000002</v>
      </c>
    </row>
    <row r="439" spans="1:8" x14ac:dyDescent="0.55000000000000004">
      <c r="A439">
        <v>71936</v>
      </c>
      <c r="B439">
        <v>949</v>
      </c>
      <c r="C439">
        <v>30050</v>
      </c>
      <c r="D439" s="1">
        <v>39600</v>
      </c>
      <c r="E439">
        <v>3</v>
      </c>
      <c r="F439">
        <v>105.294</v>
      </c>
      <c r="G439">
        <v>0</v>
      </c>
      <c r="H439">
        <v>315.88200000000001</v>
      </c>
    </row>
    <row r="440" spans="1:8" x14ac:dyDescent="0.55000000000000004">
      <c r="A440">
        <v>71936</v>
      </c>
      <c r="B440">
        <v>937</v>
      </c>
      <c r="C440">
        <v>30050</v>
      </c>
      <c r="D440" s="1">
        <v>39600</v>
      </c>
      <c r="E440">
        <v>5</v>
      </c>
      <c r="F440">
        <v>48.594000000000001</v>
      </c>
      <c r="G440">
        <v>0</v>
      </c>
      <c r="H440">
        <v>242.97</v>
      </c>
    </row>
    <row r="441" spans="1:8" x14ac:dyDescent="0.55000000000000004">
      <c r="A441">
        <v>71936</v>
      </c>
      <c r="B441">
        <v>910</v>
      </c>
      <c r="C441">
        <v>30050</v>
      </c>
      <c r="D441" s="1">
        <v>39600</v>
      </c>
      <c r="E441">
        <v>3</v>
      </c>
      <c r="F441">
        <v>31.584</v>
      </c>
      <c r="G441">
        <v>0</v>
      </c>
      <c r="H441">
        <v>94.751999999999995</v>
      </c>
    </row>
    <row r="442" spans="1:8" x14ac:dyDescent="0.55000000000000004">
      <c r="A442">
        <v>71936</v>
      </c>
      <c r="B442">
        <v>917</v>
      </c>
      <c r="C442">
        <v>30050</v>
      </c>
      <c r="D442" s="1">
        <v>39600</v>
      </c>
      <c r="E442">
        <v>2</v>
      </c>
      <c r="F442">
        <v>158.43</v>
      </c>
      <c r="G442">
        <v>0</v>
      </c>
      <c r="H442">
        <v>316.86</v>
      </c>
    </row>
    <row r="443" spans="1:8" x14ac:dyDescent="0.55000000000000004">
      <c r="A443">
        <v>71936</v>
      </c>
      <c r="B443">
        <v>994</v>
      </c>
      <c r="C443">
        <v>30050</v>
      </c>
      <c r="D443" s="1">
        <v>39600</v>
      </c>
      <c r="E443">
        <v>3</v>
      </c>
      <c r="F443">
        <v>32.393999999999998</v>
      </c>
      <c r="G443">
        <v>0</v>
      </c>
      <c r="H443">
        <v>97.182000000000002</v>
      </c>
    </row>
    <row r="444" spans="1:8" x14ac:dyDescent="0.55000000000000004">
      <c r="A444">
        <v>71936</v>
      </c>
      <c r="B444">
        <v>860</v>
      </c>
      <c r="C444">
        <v>30050</v>
      </c>
      <c r="D444" s="1">
        <v>39600</v>
      </c>
      <c r="E444">
        <v>6</v>
      </c>
      <c r="F444">
        <v>14.694000000000001</v>
      </c>
      <c r="G444">
        <v>0</v>
      </c>
      <c r="H444">
        <v>88.164000000000001</v>
      </c>
    </row>
    <row r="445" spans="1:8" x14ac:dyDescent="0.55000000000000004">
      <c r="A445">
        <v>71936</v>
      </c>
      <c r="B445">
        <v>948</v>
      </c>
      <c r="C445">
        <v>30050</v>
      </c>
      <c r="D445" s="1">
        <v>39600</v>
      </c>
      <c r="E445">
        <v>4</v>
      </c>
      <c r="F445">
        <v>63.9</v>
      </c>
      <c r="G445">
        <v>0</v>
      </c>
      <c r="H445">
        <v>255.6</v>
      </c>
    </row>
    <row r="446" spans="1:8" x14ac:dyDescent="0.55000000000000004">
      <c r="A446">
        <v>71936</v>
      </c>
      <c r="B446">
        <v>925</v>
      </c>
      <c r="C446">
        <v>30050</v>
      </c>
      <c r="D446" s="1">
        <v>39600</v>
      </c>
      <c r="E446">
        <v>6</v>
      </c>
      <c r="F446">
        <v>149.874</v>
      </c>
      <c r="G446">
        <v>0</v>
      </c>
      <c r="H446">
        <v>899.24400000000003</v>
      </c>
    </row>
    <row r="447" spans="1:8" x14ac:dyDescent="0.55000000000000004">
      <c r="A447">
        <v>71936</v>
      </c>
      <c r="B447">
        <v>908</v>
      </c>
      <c r="C447">
        <v>30050</v>
      </c>
      <c r="D447" s="1">
        <v>39600</v>
      </c>
      <c r="E447">
        <v>3</v>
      </c>
      <c r="F447">
        <v>16.271999999999998</v>
      </c>
      <c r="G447">
        <v>0</v>
      </c>
      <c r="H447">
        <v>48.816000000000003</v>
      </c>
    </row>
    <row r="448" spans="1:8" x14ac:dyDescent="0.55000000000000004">
      <c r="A448">
        <v>71936</v>
      </c>
      <c r="B448">
        <v>918</v>
      </c>
      <c r="C448">
        <v>30050</v>
      </c>
      <c r="D448" s="1">
        <v>39600</v>
      </c>
      <c r="E448">
        <v>1</v>
      </c>
      <c r="F448">
        <v>158.43</v>
      </c>
      <c r="G448">
        <v>0</v>
      </c>
      <c r="H448">
        <v>158.43</v>
      </c>
    </row>
    <row r="449" spans="1:8" x14ac:dyDescent="0.55000000000000004">
      <c r="A449">
        <v>71936</v>
      </c>
      <c r="B449">
        <v>743</v>
      </c>
      <c r="C449">
        <v>30050</v>
      </c>
      <c r="D449" s="1">
        <v>39600</v>
      </c>
      <c r="E449">
        <v>4</v>
      </c>
      <c r="F449">
        <v>809.76</v>
      </c>
      <c r="G449">
        <v>0</v>
      </c>
      <c r="H449">
        <v>3239.04</v>
      </c>
    </row>
    <row r="450" spans="1:8" x14ac:dyDescent="0.55000000000000004">
      <c r="A450">
        <v>71936</v>
      </c>
      <c r="B450">
        <v>739</v>
      </c>
      <c r="C450">
        <v>30050</v>
      </c>
      <c r="D450" s="1">
        <v>39600</v>
      </c>
      <c r="E450">
        <v>5</v>
      </c>
      <c r="F450">
        <v>818.7</v>
      </c>
      <c r="G450">
        <v>0</v>
      </c>
      <c r="H450">
        <v>4093.5</v>
      </c>
    </row>
    <row r="451" spans="1:8" x14ac:dyDescent="0.55000000000000004">
      <c r="A451">
        <v>71936</v>
      </c>
      <c r="B451">
        <v>809</v>
      </c>
      <c r="C451">
        <v>30050</v>
      </c>
      <c r="D451" s="1">
        <v>39600</v>
      </c>
      <c r="E451">
        <v>5</v>
      </c>
      <c r="F451">
        <v>37.152000000000001</v>
      </c>
      <c r="G451">
        <v>0</v>
      </c>
      <c r="H451">
        <v>185.76</v>
      </c>
    </row>
    <row r="452" spans="1:8" x14ac:dyDescent="0.55000000000000004">
      <c r="A452">
        <v>71936</v>
      </c>
      <c r="B452">
        <v>904</v>
      </c>
      <c r="C452">
        <v>30050</v>
      </c>
      <c r="D452" s="1">
        <v>39600</v>
      </c>
      <c r="E452">
        <v>2</v>
      </c>
      <c r="F452">
        <v>218.45400000000001</v>
      </c>
      <c r="G452">
        <v>0</v>
      </c>
      <c r="H452">
        <v>436.90800000000002</v>
      </c>
    </row>
    <row r="453" spans="1:8" x14ac:dyDescent="0.55000000000000004">
      <c r="A453">
        <v>71936</v>
      </c>
      <c r="B453">
        <v>781</v>
      </c>
      <c r="C453">
        <v>30050</v>
      </c>
      <c r="D453" s="1">
        <v>39600</v>
      </c>
      <c r="E453">
        <v>4</v>
      </c>
      <c r="F453">
        <v>1391.9939999999999</v>
      </c>
      <c r="G453">
        <v>0</v>
      </c>
      <c r="H453">
        <v>5567.9759999999997</v>
      </c>
    </row>
    <row r="454" spans="1:8" x14ac:dyDescent="0.55000000000000004">
      <c r="A454">
        <v>71936</v>
      </c>
      <c r="B454">
        <v>868</v>
      </c>
      <c r="C454">
        <v>30050</v>
      </c>
      <c r="D454" s="1">
        <v>39600</v>
      </c>
      <c r="E454">
        <v>4</v>
      </c>
      <c r="F454">
        <v>41.994</v>
      </c>
      <c r="G454">
        <v>0</v>
      </c>
      <c r="H454">
        <v>167.976</v>
      </c>
    </row>
    <row r="455" spans="1:8" x14ac:dyDescent="0.55000000000000004">
      <c r="A455">
        <v>71936</v>
      </c>
      <c r="B455">
        <v>742</v>
      </c>
      <c r="C455">
        <v>30050</v>
      </c>
      <c r="D455" s="1">
        <v>39600</v>
      </c>
      <c r="E455">
        <v>7</v>
      </c>
      <c r="F455">
        <v>818.7</v>
      </c>
      <c r="G455">
        <v>0</v>
      </c>
      <c r="H455">
        <v>5730.9</v>
      </c>
    </row>
    <row r="456" spans="1:8" x14ac:dyDescent="0.55000000000000004">
      <c r="A456">
        <v>71936</v>
      </c>
      <c r="B456">
        <v>936</v>
      </c>
      <c r="C456">
        <v>30050</v>
      </c>
      <c r="D456" s="1">
        <v>39600</v>
      </c>
      <c r="E456">
        <v>2</v>
      </c>
      <c r="F456">
        <v>37.253999999999998</v>
      </c>
      <c r="G456">
        <v>0</v>
      </c>
      <c r="H456">
        <v>74.507999999999996</v>
      </c>
    </row>
    <row r="457" spans="1:8" x14ac:dyDescent="0.55000000000000004">
      <c r="A457">
        <v>71936</v>
      </c>
      <c r="B457">
        <v>909</v>
      </c>
      <c r="C457">
        <v>30050</v>
      </c>
      <c r="D457" s="1">
        <v>39600</v>
      </c>
      <c r="E457">
        <v>6</v>
      </c>
      <c r="F457">
        <v>23.484000000000002</v>
      </c>
      <c r="G457">
        <v>0</v>
      </c>
      <c r="H457">
        <v>140.904</v>
      </c>
    </row>
    <row r="458" spans="1:8" x14ac:dyDescent="0.55000000000000004">
      <c r="A458">
        <v>71938</v>
      </c>
      <c r="B458">
        <v>973</v>
      </c>
      <c r="C458">
        <v>29546</v>
      </c>
      <c r="D458" s="1">
        <v>39600</v>
      </c>
      <c r="E458">
        <v>5</v>
      </c>
      <c r="F458">
        <v>1020.5940000000001</v>
      </c>
      <c r="G458">
        <v>0</v>
      </c>
      <c r="H458">
        <v>5102.97</v>
      </c>
    </row>
    <row r="459" spans="1:8" x14ac:dyDescent="0.55000000000000004">
      <c r="A459">
        <v>71938</v>
      </c>
      <c r="B459">
        <v>876</v>
      </c>
      <c r="C459">
        <v>29546</v>
      </c>
      <c r="D459" s="1">
        <v>39600</v>
      </c>
      <c r="E459">
        <v>3</v>
      </c>
      <c r="F459">
        <v>72</v>
      </c>
      <c r="G459">
        <v>0</v>
      </c>
      <c r="H459">
        <v>216</v>
      </c>
    </row>
    <row r="460" spans="1:8" x14ac:dyDescent="0.55000000000000004">
      <c r="A460">
        <v>71938</v>
      </c>
      <c r="B460">
        <v>835</v>
      </c>
      <c r="C460">
        <v>29546</v>
      </c>
      <c r="D460" s="1">
        <v>39600</v>
      </c>
      <c r="E460">
        <v>2</v>
      </c>
      <c r="F460">
        <v>356.89800000000002</v>
      </c>
      <c r="G460">
        <v>0</v>
      </c>
      <c r="H460">
        <v>713.79600000000005</v>
      </c>
    </row>
    <row r="461" spans="1:8" x14ac:dyDescent="0.55000000000000004">
      <c r="A461">
        <v>71938</v>
      </c>
      <c r="B461">
        <v>974</v>
      </c>
      <c r="C461">
        <v>29546</v>
      </c>
      <c r="D461" s="1">
        <v>39600</v>
      </c>
      <c r="E461">
        <v>3</v>
      </c>
      <c r="F461">
        <v>1020.5940000000001</v>
      </c>
      <c r="G461">
        <v>0</v>
      </c>
      <c r="H461">
        <v>3061.7820000000002</v>
      </c>
    </row>
    <row r="462" spans="1:8" x14ac:dyDescent="0.55000000000000004">
      <c r="A462">
        <v>71938</v>
      </c>
      <c r="B462">
        <v>707</v>
      </c>
      <c r="C462">
        <v>29546</v>
      </c>
      <c r="D462" s="1">
        <v>39600</v>
      </c>
      <c r="E462">
        <v>3</v>
      </c>
      <c r="F462">
        <v>20.994</v>
      </c>
      <c r="G462">
        <v>0</v>
      </c>
      <c r="H462">
        <v>62.981999999999999</v>
      </c>
    </row>
    <row r="463" spans="1:8" x14ac:dyDescent="0.55000000000000004">
      <c r="A463">
        <v>71938</v>
      </c>
      <c r="B463">
        <v>813</v>
      </c>
      <c r="C463">
        <v>29546</v>
      </c>
      <c r="D463" s="1">
        <v>39600</v>
      </c>
      <c r="E463">
        <v>1</v>
      </c>
      <c r="F463">
        <v>72.162000000000006</v>
      </c>
      <c r="G463">
        <v>0</v>
      </c>
      <c r="H463">
        <v>72.162000000000006</v>
      </c>
    </row>
    <row r="464" spans="1:8" x14ac:dyDescent="0.55000000000000004">
      <c r="A464">
        <v>71938</v>
      </c>
      <c r="B464">
        <v>938</v>
      </c>
      <c r="C464">
        <v>29546</v>
      </c>
      <c r="D464" s="1">
        <v>39600</v>
      </c>
      <c r="E464">
        <v>5</v>
      </c>
      <c r="F464">
        <v>24.294</v>
      </c>
      <c r="G464">
        <v>0</v>
      </c>
      <c r="H464">
        <v>121.47</v>
      </c>
    </row>
    <row r="465" spans="1:8" x14ac:dyDescent="0.55000000000000004">
      <c r="A465">
        <v>71938</v>
      </c>
      <c r="B465">
        <v>884</v>
      </c>
      <c r="C465">
        <v>29546</v>
      </c>
      <c r="D465" s="1">
        <v>39600</v>
      </c>
      <c r="E465">
        <v>5</v>
      </c>
      <c r="F465">
        <v>32.393999999999998</v>
      </c>
      <c r="G465">
        <v>0</v>
      </c>
      <c r="H465">
        <v>161.97</v>
      </c>
    </row>
    <row r="466" spans="1:8" x14ac:dyDescent="0.55000000000000004">
      <c r="A466">
        <v>71938</v>
      </c>
      <c r="B466">
        <v>711</v>
      </c>
      <c r="C466">
        <v>29546</v>
      </c>
      <c r="D466" s="1">
        <v>39600</v>
      </c>
      <c r="E466">
        <v>3</v>
      </c>
      <c r="F466">
        <v>20.994</v>
      </c>
      <c r="G466">
        <v>0</v>
      </c>
      <c r="H466">
        <v>62.981999999999999</v>
      </c>
    </row>
    <row r="467" spans="1:8" x14ac:dyDescent="0.55000000000000004">
      <c r="A467">
        <v>71938</v>
      </c>
      <c r="B467">
        <v>712</v>
      </c>
      <c r="C467">
        <v>29546</v>
      </c>
      <c r="D467" s="1">
        <v>39600</v>
      </c>
      <c r="E467">
        <v>1</v>
      </c>
      <c r="F467">
        <v>5.3940000000000001</v>
      </c>
      <c r="G467">
        <v>0</v>
      </c>
      <c r="H467">
        <v>5.3940000000000001</v>
      </c>
    </row>
    <row r="468" spans="1:8" x14ac:dyDescent="0.55000000000000004">
      <c r="A468">
        <v>71938</v>
      </c>
      <c r="B468">
        <v>940</v>
      </c>
      <c r="C468">
        <v>29546</v>
      </c>
      <c r="D468" s="1">
        <v>39600</v>
      </c>
      <c r="E468">
        <v>5</v>
      </c>
      <c r="F468">
        <v>48.594000000000001</v>
      </c>
      <c r="G468">
        <v>0</v>
      </c>
      <c r="H468">
        <v>242.97</v>
      </c>
    </row>
    <row r="469" spans="1:8" x14ac:dyDescent="0.55000000000000004">
      <c r="A469">
        <v>71938</v>
      </c>
      <c r="B469">
        <v>792</v>
      </c>
      <c r="C469">
        <v>29546</v>
      </c>
      <c r="D469" s="1">
        <v>39600</v>
      </c>
      <c r="E469">
        <v>3</v>
      </c>
      <c r="F469">
        <v>1466.01</v>
      </c>
      <c r="G469">
        <v>0</v>
      </c>
      <c r="H469">
        <v>4398.03</v>
      </c>
    </row>
    <row r="470" spans="1:8" x14ac:dyDescent="0.55000000000000004">
      <c r="A470">
        <v>71938</v>
      </c>
      <c r="B470">
        <v>976</v>
      </c>
      <c r="C470">
        <v>29546</v>
      </c>
      <c r="D470" s="1">
        <v>39600</v>
      </c>
      <c r="E470">
        <v>5</v>
      </c>
      <c r="F470">
        <v>1020.5940000000001</v>
      </c>
      <c r="G470">
        <v>0</v>
      </c>
      <c r="H470">
        <v>5102.97</v>
      </c>
    </row>
    <row r="471" spans="1:8" x14ac:dyDescent="0.55000000000000004">
      <c r="A471">
        <v>71938</v>
      </c>
      <c r="B471">
        <v>798</v>
      </c>
      <c r="C471">
        <v>29546</v>
      </c>
      <c r="D471" s="1">
        <v>39600</v>
      </c>
      <c r="E471">
        <v>5</v>
      </c>
      <c r="F471">
        <v>672.29399999999998</v>
      </c>
      <c r="G471">
        <v>0</v>
      </c>
      <c r="H471">
        <v>3361.47</v>
      </c>
    </row>
    <row r="472" spans="1:8" x14ac:dyDescent="0.55000000000000004">
      <c r="A472">
        <v>71938</v>
      </c>
      <c r="B472">
        <v>799</v>
      </c>
      <c r="C472">
        <v>29546</v>
      </c>
      <c r="D472" s="1">
        <v>39600</v>
      </c>
      <c r="E472">
        <v>4</v>
      </c>
      <c r="F472">
        <v>672.29399999999998</v>
      </c>
      <c r="G472">
        <v>0</v>
      </c>
      <c r="H472">
        <v>2689.1759999999999</v>
      </c>
    </row>
    <row r="473" spans="1:8" x14ac:dyDescent="0.55000000000000004">
      <c r="A473">
        <v>71938</v>
      </c>
      <c r="B473">
        <v>864</v>
      </c>
      <c r="C473">
        <v>29546</v>
      </c>
      <c r="D473" s="1">
        <v>39600</v>
      </c>
      <c r="E473">
        <v>4</v>
      </c>
      <c r="F473">
        <v>38.1</v>
      </c>
      <c r="G473">
        <v>0</v>
      </c>
      <c r="H473">
        <v>152.4</v>
      </c>
    </row>
    <row r="474" spans="1:8" x14ac:dyDescent="0.55000000000000004">
      <c r="A474">
        <v>71938</v>
      </c>
      <c r="B474">
        <v>714</v>
      </c>
      <c r="C474">
        <v>29546</v>
      </c>
      <c r="D474" s="1">
        <v>39600</v>
      </c>
      <c r="E474">
        <v>2</v>
      </c>
      <c r="F474">
        <v>29.994</v>
      </c>
      <c r="G474">
        <v>0</v>
      </c>
      <c r="H474">
        <v>59.988</v>
      </c>
    </row>
    <row r="475" spans="1:8" x14ac:dyDescent="0.55000000000000004">
      <c r="A475">
        <v>71938</v>
      </c>
      <c r="B475">
        <v>999</v>
      </c>
      <c r="C475">
        <v>29546</v>
      </c>
      <c r="D475" s="1">
        <v>39600</v>
      </c>
      <c r="E475">
        <v>4</v>
      </c>
      <c r="F475">
        <v>323.99400000000003</v>
      </c>
      <c r="G475">
        <v>0</v>
      </c>
      <c r="H475">
        <v>1295.9760000000001</v>
      </c>
    </row>
    <row r="476" spans="1:8" x14ac:dyDescent="0.55000000000000004">
      <c r="A476">
        <v>71938</v>
      </c>
      <c r="B476">
        <v>998</v>
      </c>
      <c r="C476">
        <v>29546</v>
      </c>
      <c r="D476" s="1">
        <v>39600</v>
      </c>
      <c r="E476">
        <v>5</v>
      </c>
      <c r="F476">
        <v>323.99400000000003</v>
      </c>
      <c r="G476">
        <v>0</v>
      </c>
      <c r="H476">
        <v>1619.97</v>
      </c>
    </row>
    <row r="477" spans="1:8" x14ac:dyDescent="0.55000000000000004">
      <c r="A477">
        <v>71938</v>
      </c>
      <c r="B477">
        <v>877</v>
      </c>
      <c r="C477">
        <v>29546</v>
      </c>
      <c r="D477" s="1">
        <v>39600</v>
      </c>
      <c r="E477">
        <v>6</v>
      </c>
      <c r="F477">
        <v>4.7699999999999996</v>
      </c>
      <c r="G477">
        <v>0</v>
      </c>
      <c r="H477">
        <v>28.62</v>
      </c>
    </row>
    <row r="478" spans="1:8" x14ac:dyDescent="0.55000000000000004">
      <c r="A478">
        <v>71938</v>
      </c>
      <c r="B478">
        <v>796</v>
      </c>
      <c r="C478">
        <v>29546</v>
      </c>
      <c r="D478" s="1">
        <v>39600</v>
      </c>
      <c r="E478">
        <v>3</v>
      </c>
      <c r="F478">
        <v>1466.01</v>
      </c>
      <c r="G478">
        <v>0</v>
      </c>
      <c r="H478">
        <v>4398.03</v>
      </c>
    </row>
    <row r="479" spans="1:8" x14ac:dyDescent="0.55000000000000004">
      <c r="A479">
        <v>71938</v>
      </c>
      <c r="B479">
        <v>708</v>
      </c>
      <c r="C479">
        <v>29546</v>
      </c>
      <c r="D479" s="1">
        <v>39600</v>
      </c>
      <c r="E479">
        <v>5</v>
      </c>
      <c r="F479">
        <v>20.994</v>
      </c>
      <c r="G479">
        <v>0</v>
      </c>
      <c r="H479">
        <v>104.97</v>
      </c>
    </row>
    <row r="480" spans="1:8" x14ac:dyDescent="0.55000000000000004">
      <c r="A480">
        <v>71938</v>
      </c>
      <c r="B480">
        <v>865</v>
      </c>
      <c r="C480">
        <v>29546</v>
      </c>
      <c r="D480" s="1">
        <v>39600</v>
      </c>
      <c r="E480">
        <v>5</v>
      </c>
      <c r="F480">
        <v>38.1</v>
      </c>
      <c r="G480">
        <v>0</v>
      </c>
      <c r="H480">
        <v>190.5</v>
      </c>
    </row>
    <row r="481" spans="1:8" x14ac:dyDescent="0.55000000000000004">
      <c r="A481">
        <v>71938</v>
      </c>
      <c r="B481">
        <v>738</v>
      </c>
      <c r="C481">
        <v>29546</v>
      </c>
      <c r="D481" s="1">
        <v>39600</v>
      </c>
      <c r="E481">
        <v>3</v>
      </c>
      <c r="F481">
        <v>202.33199999999999</v>
      </c>
      <c r="G481">
        <v>0</v>
      </c>
      <c r="H481">
        <v>606.99599999999998</v>
      </c>
    </row>
    <row r="482" spans="1:8" x14ac:dyDescent="0.55000000000000004">
      <c r="A482">
        <v>71938</v>
      </c>
      <c r="B482">
        <v>883</v>
      </c>
      <c r="C482">
        <v>29546</v>
      </c>
      <c r="D482" s="1">
        <v>39600</v>
      </c>
      <c r="E482">
        <v>3</v>
      </c>
      <c r="F482">
        <v>32.393999999999998</v>
      </c>
      <c r="G482">
        <v>0</v>
      </c>
      <c r="H482">
        <v>97.182000000000002</v>
      </c>
    </row>
    <row r="483" spans="1:8" x14ac:dyDescent="0.55000000000000004">
      <c r="A483">
        <v>71938</v>
      </c>
      <c r="B483">
        <v>997</v>
      </c>
      <c r="C483">
        <v>29546</v>
      </c>
      <c r="D483" s="1">
        <v>39600</v>
      </c>
      <c r="E483">
        <v>3</v>
      </c>
      <c r="F483">
        <v>323.99400000000003</v>
      </c>
      <c r="G483">
        <v>0</v>
      </c>
      <c r="H483">
        <v>971.98199999999997</v>
      </c>
    </row>
    <row r="484" spans="1:8" x14ac:dyDescent="0.55000000000000004">
      <c r="A484">
        <v>71938</v>
      </c>
      <c r="B484">
        <v>870</v>
      </c>
      <c r="C484">
        <v>29546</v>
      </c>
      <c r="D484" s="1">
        <v>39600</v>
      </c>
      <c r="E484">
        <v>8</v>
      </c>
      <c r="F484">
        <v>2.9940000000000002</v>
      </c>
      <c r="G484">
        <v>0</v>
      </c>
      <c r="H484">
        <v>23.952000000000002</v>
      </c>
    </row>
    <row r="485" spans="1:8" x14ac:dyDescent="0.55000000000000004">
      <c r="A485">
        <v>71938</v>
      </c>
      <c r="B485">
        <v>795</v>
      </c>
      <c r="C485">
        <v>29546</v>
      </c>
      <c r="D485" s="1">
        <v>39600</v>
      </c>
      <c r="E485">
        <v>6</v>
      </c>
      <c r="F485">
        <v>1466.01</v>
      </c>
      <c r="G485">
        <v>0</v>
      </c>
      <c r="H485">
        <v>8796.06</v>
      </c>
    </row>
    <row r="486" spans="1:8" x14ac:dyDescent="0.55000000000000004">
      <c r="A486">
        <v>71938</v>
      </c>
      <c r="B486">
        <v>874</v>
      </c>
      <c r="C486">
        <v>29546</v>
      </c>
      <c r="D486" s="1">
        <v>39600</v>
      </c>
      <c r="E486">
        <v>4</v>
      </c>
      <c r="F486">
        <v>5.3940000000000001</v>
      </c>
      <c r="G486">
        <v>0</v>
      </c>
      <c r="H486">
        <v>21.576000000000001</v>
      </c>
    </row>
    <row r="487" spans="1:8" x14ac:dyDescent="0.55000000000000004">
      <c r="A487">
        <v>71938</v>
      </c>
      <c r="B487">
        <v>859</v>
      </c>
      <c r="C487">
        <v>29546</v>
      </c>
      <c r="D487" s="1">
        <v>39600</v>
      </c>
      <c r="E487">
        <v>2</v>
      </c>
      <c r="F487">
        <v>14.694000000000001</v>
      </c>
      <c r="G487">
        <v>0</v>
      </c>
      <c r="H487">
        <v>29.388000000000002</v>
      </c>
    </row>
    <row r="488" spans="1:8" x14ac:dyDescent="0.55000000000000004">
      <c r="A488">
        <v>71938</v>
      </c>
      <c r="B488">
        <v>975</v>
      </c>
      <c r="C488">
        <v>29546</v>
      </c>
      <c r="D488" s="1">
        <v>39600</v>
      </c>
      <c r="E488">
        <v>5</v>
      </c>
      <c r="F488">
        <v>1020.5940000000001</v>
      </c>
      <c r="G488">
        <v>0</v>
      </c>
      <c r="H488">
        <v>5102.97</v>
      </c>
    </row>
    <row r="489" spans="1:8" x14ac:dyDescent="0.55000000000000004">
      <c r="A489">
        <v>71938</v>
      </c>
      <c r="B489">
        <v>793</v>
      </c>
      <c r="C489">
        <v>29546</v>
      </c>
      <c r="D489" s="1">
        <v>39600</v>
      </c>
      <c r="E489">
        <v>3</v>
      </c>
      <c r="F489">
        <v>1466.01</v>
      </c>
      <c r="G489">
        <v>0</v>
      </c>
      <c r="H489">
        <v>4398.03</v>
      </c>
    </row>
    <row r="490" spans="1:8" x14ac:dyDescent="0.55000000000000004">
      <c r="A490">
        <v>71938</v>
      </c>
      <c r="B490">
        <v>797</v>
      </c>
      <c r="C490">
        <v>29546</v>
      </c>
      <c r="D490" s="1">
        <v>39600</v>
      </c>
      <c r="E490">
        <v>5</v>
      </c>
      <c r="F490">
        <v>672.29399999999998</v>
      </c>
      <c r="G490">
        <v>0</v>
      </c>
      <c r="H490">
        <v>3361.47</v>
      </c>
    </row>
    <row r="491" spans="1:8" x14ac:dyDescent="0.55000000000000004">
      <c r="A491">
        <v>71938</v>
      </c>
      <c r="B491">
        <v>880</v>
      </c>
      <c r="C491">
        <v>29546</v>
      </c>
      <c r="D491" s="1">
        <v>39600</v>
      </c>
      <c r="E491">
        <v>7</v>
      </c>
      <c r="F491">
        <v>32.994</v>
      </c>
      <c r="G491">
        <v>0</v>
      </c>
      <c r="H491">
        <v>230.958</v>
      </c>
    </row>
    <row r="492" spans="1:8" x14ac:dyDescent="0.55000000000000004">
      <c r="A492">
        <v>71938</v>
      </c>
      <c r="B492">
        <v>977</v>
      </c>
      <c r="C492">
        <v>29546</v>
      </c>
      <c r="D492" s="1">
        <v>39600</v>
      </c>
      <c r="E492">
        <v>4</v>
      </c>
      <c r="F492">
        <v>323.99400000000003</v>
      </c>
      <c r="G492">
        <v>0</v>
      </c>
      <c r="H492">
        <v>1295.9760000000001</v>
      </c>
    </row>
    <row r="493" spans="1:8" x14ac:dyDescent="0.55000000000000004">
      <c r="A493">
        <v>71938</v>
      </c>
      <c r="B493">
        <v>801</v>
      </c>
      <c r="C493">
        <v>29546</v>
      </c>
      <c r="D493" s="1">
        <v>39600</v>
      </c>
      <c r="E493">
        <v>5</v>
      </c>
      <c r="F493">
        <v>672.29399999999998</v>
      </c>
      <c r="G493">
        <v>0</v>
      </c>
      <c r="H493">
        <v>3361.47</v>
      </c>
    </row>
    <row r="494" spans="1:8" x14ac:dyDescent="0.55000000000000004">
      <c r="A494">
        <v>71938</v>
      </c>
      <c r="B494">
        <v>794</v>
      </c>
      <c r="C494">
        <v>29546</v>
      </c>
      <c r="D494" s="1">
        <v>39600</v>
      </c>
      <c r="E494">
        <v>7</v>
      </c>
      <c r="F494">
        <v>1466.01</v>
      </c>
      <c r="G494">
        <v>0</v>
      </c>
      <c r="H494">
        <v>10262.07</v>
      </c>
    </row>
    <row r="495" spans="1:8" x14ac:dyDescent="0.55000000000000004">
      <c r="A495">
        <v>71938</v>
      </c>
      <c r="B495">
        <v>939</v>
      </c>
      <c r="C495">
        <v>29546</v>
      </c>
      <c r="D495" s="1">
        <v>39600</v>
      </c>
      <c r="E495">
        <v>6</v>
      </c>
      <c r="F495">
        <v>37.253999999999998</v>
      </c>
      <c r="G495">
        <v>0</v>
      </c>
      <c r="H495">
        <v>223.524</v>
      </c>
    </row>
    <row r="496" spans="1:8" x14ac:dyDescent="0.55000000000000004">
      <c r="A496">
        <v>71938</v>
      </c>
      <c r="B496">
        <v>715</v>
      </c>
      <c r="C496">
        <v>29546</v>
      </c>
      <c r="D496" s="1">
        <v>39600</v>
      </c>
      <c r="E496">
        <v>3</v>
      </c>
      <c r="F496">
        <v>29.994</v>
      </c>
      <c r="G496">
        <v>0</v>
      </c>
      <c r="H496">
        <v>89.981999999999999</v>
      </c>
    </row>
    <row r="497" spans="1:8" x14ac:dyDescent="0.55000000000000004">
      <c r="A497">
        <v>71938</v>
      </c>
      <c r="B497">
        <v>881</v>
      </c>
      <c r="C497">
        <v>29546</v>
      </c>
      <c r="D497" s="1">
        <v>39600</v>
      </c>
      <c r="E497">
        <v>1</v>
      </c>
      <c r="F497">
        <v>32.393999999999998</v>
      </c>
      <c r="G497">
        <v>0</v>
      </c>
      <c r="H497">
        <v>32.393999999999998</v>
      </c>
    </row>
    <row r="498" spans="1:8" x14ac:dyDescent="0.55000000000000004">
      <c r="A498">
        <v>71938</v>
      </c>
      <c r="B498">
        <v>875</v>
      </c>
      <c r="C498">
        <v>29546</v>
      </c>
      <c r="D498" s="1">
        <v>39600</v>
      </c>
      <c r="E498">
        <v>2</v>
      </c>
      <c r="F498">
        <v>5.3940000000000001</v>
      </c>
      <c r="G498">
        <v>0</v>
      </c>
      <c r="H498">
        <v>10.788</v>
      </c>
    </row>
    <row r="499" spans="1:8" x14ac:dyDescent="0.55000000000000004">
      <c r="A499">
        <v>71938</v>
      </c>
      <c r="B499">
        <v>800</v>
      </c>
      <c r="C499">
        <v>29546</v>
      </c>
      <c r="D499" s="1">
        <v>39600</v>
      </c>
      <c r="E499">
        <v>3</v>
      </c>
      <c r="F499">
        <v>672.29399999999998</v>
      </c>
      <c r="G499">
        <v>0</v>
      </c>
      <c r="H499">
        <v>2016.8820000000001</v>
      </c>
    </row>
    <row r="500" spans="1:8" x14ac:dyDescent="0.55000000000000004">
      <c r="A500">
        <v>71946</v>
      </c>
      <c r="B500">
        <v>916</v>
      </c>
      <c r="C500">
        <v>29741</v>
      </c>
      <c r="D500" s="1">
        <v>39600</v>
      </c>
      <c r="E500">
        <v>1</v>
      </c>
      <c r="F500">
        <v>31.584</v>
      </c>
      <c r="G500">
        <v>0</v>
      </c>
      <c r="H500">
        <v>31.584</v>
      </c>
    </row>
    <row r="501" spans="1:8" x14ac:dyDescent="0.55000000000000004">
      <c r="A501">
        <v>71780</v>
      </c>
      <c r="B501">
        <v>988</v>
      </c>
      <c r="C501">
        <v>30113</v>
      </c>
      <c r="D501" s="1">
        <v>39600</v>
      </c>
      <c r="E501">
        <v>6</v>
      </c>
      <c r="F501">
        <v>112.998</v>
      </c>
      <c r="G501">
        <v>0.4</v>
      </c>
      <c r="H501">
        <v>406.7928</v>
      </c>
    </row>
    <row r="502" spans="1:8" x14ac:dyDescent="0.55000000000000004">
      <c r="A502">
        <v>71780</v>
      </c>
      <c r="B502">
        <v>985</v>
      </c>
      <c r="C502">
        <v>30113</v>
      </c>
      <c r="D502" s="1">
        <v>39600</v>
      </c>
      <c r="E502">
        <v>1</v>
      </c>
      <c r="F502">
        <v>112.998</v>
      </c>
      <c r="G502">
        <v>0.4</v>
      </c>
      <c r="H502">
        <v>67.7988</v>
      </c>
    </row>
    <row r="503" spans="1:8" x14ac:dyDescent="0.55000000000000004">
      <c r="A503">
        <v>71780</v>
      </c>
      <c r="B503">
        <v>984</v>
      </c>
      <c r="C503">
        <v>30113</v>
      </c>
      <c r="D503" s="1">
        <v>39600</v>
      </c>
      <c r="E503">
        <v>2</v>
      </c>
      <c r="F503">
        <v>112.998</v>
      </c>
      <c r="G503">
        <v>0.4</v>
      </c>
      <c r="H503">
        <v>135.5976</v>
      </c>
    </row>
    <row r="504" spans="1:8" x14ac:dyDescent="0.55000000000000004">
      <c r="A504">
        <v>71780</v>
      </c>
      <c r="B504">
        <v>986</v>
      </c>
      <c r="C504">
        <v>30113</v>
      </c>
      <c r="D504" s="1">
        <v>39600</v>
      </c>
      <c r="E504">
        <v>3</v>
      </c>
      <c r="F504">
        <v>112.998</v>
      </c>
      <c r="G504">
        <v>0.4</v>
      </c>
      <c r="H504">
        <v>203.3964</v>
      </c>
    </row>
    <row r="505" spans="1:8" x14ac:dyDescent="0.55000000000000004">
      <c r="A505">
        <v>71780</v>
      </c>
      <c r="B505">
        <v>987</v>
      </c>
      <c r="C505">
        <v>30113</v>
      </c>
      <c r="D505" s="1">
        <v>39600</v>
      </c>
      <c r="E505">
        <v>3</v>
      </c>
      <c r="F505">
        <v>112.998</v>
      </c>
      <c r="G505">
        <v>0.4</v>
      </c>
      <c r="H505">
        <v>203.3964</v>
      </c>
    </row>
    <row r="506" spans="1:8" x14ac:dyDescent="0.55000000000000004">
      <c r="A506">
        <v>71783</v>
      </c>
      <c r="B506">
        <v>976</v>
      </c>
      <c r="C506">
        <v>29957</v>
      </c>
      <c r="D506" s="1">
        <v>39600</v>
      </c>
      <c r="E506">
        <v>25</v>
      </c>
      <c r="F506">
        <v>850.495</v>
      </c>
      <c r="G506">
        <v>0.1</v>
      </c>
      <c r="H506">
        <v>19136.137500000001</v>
      </c>
    </row>
    <row r="507" spans="1:8" x14ac:dyDescent="0.55000000000000004">
      <c r="A507">
        <v>71783</v>
      </c>
      <c r="B507">
        <v>864</v>
      </c>
      <c r="C507">
        <v>29957</v>
      </c>
      <c r="D507" s="1">
        <v>39600</v>
      </c>
      <c r="E507">
        <v>15</v>
      </c>
      <c r="F507">
        <v>34.924999999999997</v>
      </c>
      <c r="G507">
        <v>0.05</v>
      </c>
      <c r="H507">
        <v>497.68130000000002</v>
      </c>
    </row>
    <row r="508" spans="1:8" x14ac:dyDescent="0.55000000000000004">
      <c r="A508">
        <v>71783</v>
      </c>
      <c r="B508">
        <v>883</v>
      </c>
      <c r="C508">
        <v>29957</v>
      </c>
      <c r="D508" s="1">
        <v>39600</v>
      </c>
      <c r="E508">
        <v>11</v>
      </c>
      <c r="F508">
        <v>31.3142</v>
      </c>
      <c r="G508">
        <v>0.02</v>
      </c>
      <c r="H508">
        <v>337.56709999999998</v>
      </c>
    </row>
    <row r="509" spans="1:8" x14ac:dyDescent="0.55000000000000004">
      <c r="A509">
        <v>71783</v>
      </c>
      <c r="B509">
        <v>974</v>
      </c>
      <c r="C509">
        <v>29957</v>
      </c>
      <c r="D509" s="1">
        <v>39600</v>
      </c>
      <c r="E509">
        <v>13</v>
      </c>
      <c r="F509">
        <v>986.57420000000002</v>
      </c>
      <c r="G509">
        <v>0.02</v>
      </c>
      <c r="H509">
        <v>12568.9553</v>
      </c>
    </row>
    <row r="510" spans="1:8" x14ac:dyDescent="0.55000000000000004">
      <c r="A510">
        <v>71783</v>
      </c>
      <c r="B510">
        <v>715</v>
      </c>
      <c r="C510">
        <v>29957</v>
      </c>
      <c r="D510" s="1">
        <v>39600</v>
      </c>
      <c r="E510">
        <v>17</v>
      </c>
      <c r="F510">
        <v>27.494499999999999</v>
      </c>
      <c r="G510">
        <v>0.05</v>
      </c>
      <c r="H510">
        <v>444.03620000000001</v>
      </c>
    </row>
    <row r="511" spans="1:8" x14ac:dyDescent="0.55000000000000004">
      <c r="A511">
        <v>71783</v>
      </c>
      <c r="B511">
        <v>712</v>
      </c>
      <c r="C511">
        <v>29957</v>
      </c>
      <c r="D511" s="1">
        <v>39600</v>
      </c>
      <c r="E511">
        <v>11</v>
      </c>
      <c r="F511">
        <v>5.2141999999999999</v>
      </c>
      <c r="G511">
        <v>0.02</v>
      </c>
      <c r="H511">
        <v>56.209099999999999</v>
      </c>
    </row>
    <row r="512" spans="1:8" x14ac:dyDescent="0.55000000000000004">
      <c r="A512">
        <v>71783</v>
      </c>
      <c r="B512">
        <v>711</v>
      </c>
      <c r="C512">
        <v>29957</v>
      </c>
      <c r="D512" s="1">
        <v>39600</v>
      </c>
      <c r="E512">
        <v>15</v>
      </c>
      <c r="F512">
        <v>19.244499999999999</v>
      </c>
      <c r="G512">
        <v>0.05</v>
      </c>
      <c r="H512">
        <v>274.23410000000001</v>
      </c>
    </row>
    <row r="513" spans="1:8" x14ac:dyDescent="0.55000000000000004">
      <c r="A513">
        <v>71783</v>
      </c>
      <c r="B513">
        <v>708</v>
      </c>
      <c r="C513">
        <v>29957</v>
      </c>
      <c r="D513" s="1">
        <v>39600</v>
      </c>
      <c r="E513">
        <v>11</v>
      </c>
      <c r="F513">
        <v>20.2942</v>
      </c>
      <c r="G513">
        <v>0.02</v>
      </c>
      <c r="H513">
        <v>218.7715</v>
      </c>
    </row>
    <row r="514" spans="1:8" x14ac:dyDescent="0.55000000000000004">
      <c r="A514">
        <v>71784</v>
      </c>
      <c r="B514">
        <v>870</v>
      </c>
      <c r="C514">
        <v>29736</v>
      </c>
      <c r="D514" s="1">
        <v>39600</v>
      </c>
      <c r="E514">
        <v>11</v>
      </c>
      <c r="F514">
        <v>2.8942000000000001</v>
      </c>
      <c r="G514">
        <v>0.02</v>
      </c>
      <c r="H514">
        <v>31.1995</v>
      </c>
    </row>
    <row r="515" spans="1:8" x14ac:dyDescent="0.55000000000000004">
      <c r="A515">
        <v>71784</v>
      </c>
      <c r="B515">
        <v>965</v>
      </c>
      <c r="C515">
        <v>29736</v>
      </c>
      <c r="D515" s="1">
        <v>39600</v>
      </c>
      <c r="E515">
        <v>11</v>
      </c>
      <c r="F515">
        <v>430.56299999999999</v>
      </c>
      <c r="G515">
        <v>0.02</v>
      </c>
      <c r="H515">
        <v>4641.4691000000003</v>
      </c>
    </row>
    <row r="516" spans="1:8" x14ac:dyDescent="0.55000000000000004">
      <c r="A516">
        <v>71784</v>
      </c>
      <c r="B516">
        <v>957</v>
      </c>
      <c r="C516">
        <v>29736</v>
      </c>
      <c r="D516" s="1">
        <v>39600</v>
      </c>
      <c r="E516">
        <v>12</v>
      </c>
      <c r="F516">
        <v>1382.7606000000001</v>
      </c>
      <c r="G516">
        <v>0.02</v>
      </c>
      <c r="H516">
        <v>16261.2647</v>
      </c>
    </row>
    <row r="517" spans="1:8" x14ac:dyDescent="0.55000000000000004">
      <c r="A517">
        <v>71784</v>
      </c>
      <c r="B517">
        <v>864</v>
      </c>
      <c r="C517">
        <v>29736</v>
      </c>
      <c r="D517" s="1">
        <v>39600</v>
      </c>
      <c r="E517">
        <v>23</v>
      </c>
      <c r="F517">
        <v>34.924999999999997</v>
      </c>
      <c r="G517">
        <v>0.05</v>
      </c>
      <c r="H517">
        <v>763.11130000000003</v>
      </c>
    </row>
    <row r="518" spans="1:8" x14ac:dyDescent="0.55000000000000004">
      <c r="A518">
        <v>71784</v>
      </c>
      <c r="B518">
        <v>708</v>
      </c>
      <c r="C518">
        <v>29736</v>
      </c>
      <c r="D518" s="1">
        <v>39600</v>
      </c>
      <c r="E518">
        <v>12</v>
      </c>
      <c r="F518">
        <v>20.2942</v>
      </c>
      <c r="G518">
        <v>0.02</v>
      </c>
      <c r="H518">
        <v>238.65979999999999</v>
      </c>
    </row>
    <row r="519" spans="1:8" x14ac:dyDescent="0.55000000000000004">
      <c r="A519">
        <v>71797</v>
      </c>
      <c r="B519">
        <v>883</v>
      </c>
      <c r="C519">
        <v>29796</v>
      </c>
      <c r="D519" s="1">
        <v>39600</v>
      </c>
      <c r="E519">
        <v>16</v>
      </c>
      <c r="F519">
        <v>29.694500000000001</v>
      </c>
      <c r="G519">
        <v>0.05</v>
      </c>
      <c r="H519">
        <v>451.35640000000001</v>
      </c>
    </row>
    <row r="520" spans="1:8" x14ac:dyDescent="0.55000000000000004">
      <c r="A520">
        <v>71797</v>
      </c>
      <c r="B520">
        <v>884</v>
      </c>
      <c r="C520">
        <v>29796</v>
      </c>
      <c r="D520" s="1">
        <v>39600</v>
      </c>
      <c r="E520">
        <v>15</v>
      </c>
      <c r="F520">
        <v>29.694500000000001</v>
      </c>
      <c r="G520">
        <v>0.05</v>
      </c>
      <c r="H520">
        <v>423.14659999999998</v>
      </c>
    </row>
    <row r="521" spans="1:8" x14ac:dyDescent="0.55000000000000004">
      <c r="A521">
        <v>71797</v>
      </c>
      <c r="B521">
        <v>864</v>
      </c>
      <c r="C521">
        <v>29796</v>
      </c>
      <c r="D521" s="1">
        <v>39600</v>
      </c>
      <c r="E521">
        <v>23</v>
      </c>
      <c r="F521">
        <v>34.924999999999997</v>
      </c>
      <c r="G521">
        <v>0.05</v>
      </c>
      <c r="H521">
        <v>763.11130000000003</v>
      </c>
    </row>
    <row r="522" spans="1:8" x14ac:dyDescent="0.55000000000000004">
      <c r="A522">
        <v>71797</v>
      </c>
      <c r="B522">
        <v>877</v>
      </c>
      <c r="C522">
        <v>29796</v>
      </c>
      <c r="D522" s="1">
        <v>39600</v>
      </c>
      <c r="E522">
        <v>17</v>
      </c>
      <c r="F522">
        <v>4.3724999999999996</v>
      </c>
      <c r="G522">
        <v>0.05</v>
      </c>
      <c r="H522">
        <v>70.615899999999996</v>
      </c>
    </row>
    <row r="523" spans="1:8" x14ac:dyDescent="0.55000000000000004">
      <c r="A523">
        <v>71797</v>
      </c>
      <c r="B523">
        <v>870</v>
      </c>
      <c r="C523">
        <v>29796</v>
      </c>
      <c r="D523" s="1">
        <v>39600</v>
      </c>
      <c r="E523">
        <v>11</v>
      </c>
      <c r="F523">
        <v>2.8942000000000001</v>
      </c>
      <c r="G523">
        <v>0.02</v>
      </c>
      <c r="H523">
        <v>31.1995</v>
      </c>
    </row>
    <row r="524" spans="1:8" x14ac:dyDescent="0.55000000000000004">
      <c r="A524">
        <v>71797</v>
      </c>
      <c r="B524">
        <v>708</v>
      </c>
      <c r="C524">
        <v>29796</v>
      </c>
      <c r="D524" s="1">
        <v>39600</v>
      </c>
      <c r="E524">
        <v>12</v>
      </c>
      <c r="F524">
        <v>20.2942</v>
      </c>
      <c r="G524">
        <v>0.02</v>
      </c>
      <c r="H524">
        <v>238.65979999999999</v>
      </c>
    </row>
    <row r="525" spans="1:8" x14ac:dyDescent="0.55000000000000004">
      <c r="A525">
        <v>71832</v>
      </c>
      <c r="B525">
        <v>985</v>
      </c>
      <c r="C525">
        <v>29922</v>
      </c>
      <c r="D525" s="1">
        <v>39600</v>
      </c>
      <c r="E525">
        <v>2</v>
      </c>
      <c r="F525">
        <v>112.998</v>
      </c>
      <c r="G525">
        <v>0.4</v>
      </c>
      <c r="H525">
        <v>135.5976</v>
      </c>
    </row>
    <row r="526" spans="1:8" x14ac:dyDescent="0.55000000000000004">
      <c r="A526">
        <v>71832</v>
      </c>
      <c r="B526">
        <v>867</v>
      </c>
      <c r="C526">
        <v>29922</v>
      </c>
      <c r="D526" s="1">
        <v>39600</v>
      </c>
      <c r="E526">
        <v>13</v>
      </c>
      <c r="F526">
        <v>40.594200000000001</v>
      </c>
      <c r="G526">
        <v>0.02</v>
      </c>
      <c r="H526">
        <v>517.17010000000005</v>
      </c>
    </row>
    <row r="527" spans="1:8" x14ac:dyDescent="0.55000000000000004">
      <c r="A527">
        <v>71832</v>
      </c>
      <c r="B527">
        <v>984</v>
      </c>
      <c r="C527">
        <v>29922</v>
      </c>
      <c r="D527" s="1">
        <v>39600</v>
      </c>
      <c r="E527">
        <v>3</v>
      </c>
      <c r="F527">
        <v>112.998</v>
      </c>
      <c r="G527">
        <v>0.4</v>
      </c>
      <c r="H527">
        <v>203.3964</v>
      </c>
    </row>
    <row r="528" spans="1:8" x14ac:dyDescent="0.55000000000000004">
      <c r="A528">
        <v>71845</v>
      </c>
      <c r="B528">
        <v>988</v>
      </c>
      <c r="C528">
        <v>29938</v>
      </c>
      <c r="D528" s="1">
        <v>39600</v>
      </c>
      <c r="E528">
        <v>2</v>
      </c>
      <c r="F528">
        <v>112.998</v>
      </c>
      <c r="G528">
        <v>0.4</v>
      </c>
      <c r="H528">
        <v>135.5976</v>
      </c>
    </row>
    <row r="529" spans="1:8" x14ac:dyDescent="0.55000000000000004">
      <c r="A529">
        <v>71846</v>
      </c>
      <c r="B529">
        <v>984</v>
      </c>
      <c r="C529">
        <v>30102</v>
      </c>
      <c r="D529" s="1">
        <v>39600</v>
      </c>
      <c r="E529">
        <v>1</v>
      </c>
      <c r="F529">
        <v>112.998</v>
      </c>
      <c r="G529">
        <v>0.4</v>
      </c>
      <c r="H529">
        <v>67.7988</v>
      </c>
    </row>
    <row r="530" spans="1:8" x14ac:dyDescent="0.55000000000000004">
      <c r="A530">
        <v>71863</v>
      </c>
      <c r="B530">
        <v>875</v>
      </c>
      <c r="C530">
        <v>29975</v>
      </c>
      <c r="D530" s="1">
        <v>39600</v>
      </c>
      <c r="E530">
        <v>11</v>
      </c>
      <c r="F530">
        <v>5.2141999999999999</v>
      </c>
      <c r="G530">
        <v>0.02</v>
      </c>
      <c r="H530">
        <v>56.209099999999999</v>
      </c>
    </row>
    <row r="531" spans="1:8" x14ac:dyDescent="0.55000000000000004">
      <c r="A531">
        <v>71899</v>
      </c>
      <c r="B531">
        <v>988</v>
      </c>
      <c r="C531">
        <v>29568</v>
      </c>
      <c r="D531" s="1">
        <v>39600</v>
      </c>
      <c r="E531">
        <v>1</v>
      </c>
      <c r="F531">
        <v>112.998</v>
      </c>
      <c r="G531">
        <v>0.4</v>
      </c>
      <c r="H531">
        <v>67.7988</v>
      </c>
    </row>
    <row r="532" spans="1:8" x14ac:dyDescent="0.55000000000000004">
      <c r="A532">
        <v>71902</v>
      </c>
      <c r="B532">
        <v>987</v>
      </c>
      <c r="C532">
        <v>29929</v>
      </c>
      <c r="D532" s="1">
        <v>39600</v>
      </c>
      <c r="E532">
        <v>1</v>
      </c>
      <c r="F532">
        <v>112.998</v>
      </c>
      <c r="G532">
        <v>0.4</v>
      </c>
      <c r="H532">
        <v>67.7988</v>
      </c>
    </row>
    <row r="533" spans="1:8" x14ac:dyDescent="0.55000000000000004">
      <c r="A533">
        <v>71902</v>
      </c>
      <c r="B533">
        <v>984</v>
      </c>
      <c r="C533">
        <v>29929</v>
      </c>
      <c r="D533" s="1">
        <v>39600</v>
      </c>
      <c r="E533">
        <v>4</v>
      </c>
      <c r="F533">
        <v>112.998</v>
      </c>
      <c r="G533">
        <v>0.4</v>
      </c>
      <c r="H533">
        <v>271.1952</v>
      </c>
    </row>
    <row r="534" spans="1:8" x14ac:dyDescent="0.55000000000000004">
      <c r="A534">
        <v>71902</v>
      </c>
      <c r="B534">
        <v>988</v>
      </c>
      <c r="C534">
        <v>29929</v>
      </c>
      <c r="D534" s="1">
        <v>39600</v>
      </c>
      <c r="E534">
        <v>3</v>
      </c>
      <c r="F534">
        <v>112.998</v>
      </c>
      <c r="G534">
        <v>0.4</v>
      </c>
      <c r="H534">
        <v>203.3964</v>
      </c>
    </row>
    <row r="535" spans="1:8" x14ac:dyDescent="0.55000000000000004">
      <c r="A535">
        <v>71902</v>
      </c>
      <c r="B535">
        <v>985</v>
      </c>
      <c r="C535">
        <v>29929</v>
      </c>
      <c r="D535" s="1">
        <v>39600</v>
      </c>
      <c r="E535">
        <v>5</v>
      </c>
      <c r="F535">
        <v>112.998</v>
      </c>
      <c r="G535">
        <v>0.4</v>
      </c>
      <c r="H535">
        <v>338.99400000000003</v>
      </c>
    </row>
    <row r="536" spans="1:8" x14ac:dyDescent="0.55000000000000004">
      <c r="A536">
        <v>71902</v>
      </c>
      <c r="B536">
        <v>986</v>
      </c>
      <c r="C536">
        <v>29929</v>
      </c>
      <c r="D536" s="1">
        <v>39600</v>
      </c>
      <c r="E536">
        <v>1</v>
      </c>
      <c r="F536">
        <v>112.998</v>
      </c>
      <c r="G536">
        <v>0.4</v>
      </c>
      <c r="H536">
        <v>67.7988</v>
      </c>
    </row>
    <row r="537" spans="1:8" x14ac:dyDescent="0.55000000000000004">
      <c r="A537">
        <v>71923</v>
      </c>
      <c r="B537">
        <v>875</v>
      </c>
      <c r="C537">
        <v>29781</v>
      </c>
      <c r="D537" s="1">
        <v>39600</v>
      </c>
      <c r="E537">
        <v>14</v>
      </c>
      <c r="F537">
        <v>5.2141999999999999</v>
      </c>
      <c r="G537">
        <v>0.02</v>
      </c>
      <c r="H537">
        <v>71.538799999999995</v>
      </c>
    </row>
    <row r="538" spans="1:8" x14ac:dyDescent="0.55000000000000004">
      <c r="A538">
        <v>71935</v>
      </c>
      <c r="B538">
        <v>875</v>
      </c>
      <c r="C538">
        <v>29531</v>
      </c>
      <c r="D538" s="1">
        <v>39600</v>
      </c>
      <c r="E538">
        <v>13</v>
      </c>
      <c r="F538">
        <v>5.2141999999999999</v>
      </c>
      <c r="G538">
        <v>0.02</v>
      </c>
      <c r="H538">
        <v>66.428899999999999</v>
      </c>
    </row>
    <row r="539" spans="1:8" x14ac:dyDescent="0.55000000000000004">
      <c r="A539">
        <v>71936</v>
      </c>
      <c r="B539">
        <v>985</v>
      </c>
      <c r="C539">
        <v>30050</v>
      </c>
      <c r="D539" s="1">
        <v>39600</v>
      </c>
      <c r="E539">
        <v>4</v>
      </c>
      <c r="F539">
        <v>112.998</v>
      </c>
      <c r="G539">
        <v>0.4</v>
      </c>
      <c r="H539">
        <v>271.1952</v>
      </c>
    </row>
    <row r="540" spans="1:8" x14ac:dyDescent="0.55000000000000004">
      <c r="A540">
        <v>71936</v>
      </c>
      <c r="B540">
        <v>867</v>
      </c>
      <c r="C540">
        <v>30050</v>
      </c>
      <c r="D540" s="1">
        <v>39600</v>
      </c>
      <c r="E540">
        <v>14</v>
      </c>
      <c r="F540">
        <v>40.594200000000001</v>
      </c>
      <c r="G540">
        <v>0.02</v>
      </c>
      <c r="H540">
        <v>556.95240000000001</v>
      </c>
    </row>
    <row r="541" spans="1:8" x14ac:dyDescent="0.55000000000000004">
      <c r="A541">
        <v>71936</v>
      </c>
      <c r="B541">
        <v>984</v>
      </c>
      <c r="C541">
        <v>30050</v>
      </c>
      <c r="D541" s="1">
        <v>39600</v>
      </c>
      <c r="E541">
        <v>1</v>
      </c>
      <c r="F541">
        <v>112.998</v>
      </c>
      <c r="G541">
        <v>0.4</v>
      </c>
      <c r="H541">
        <v>67.7988</v>
      </c>
    </row>
    <row r="542" spans="1:8" x14ac:dyDescent="0.55000000000000004">
      <c r="A542">
        <v>71936</v>
      </c>
      <c r="B542">
        <v>987</v>
      </c>
      <c r="C542">
        <v>30050</v>
      </c>
      <c r="D542" s="1">
        <v>39600</v>
      </c>
      <c r="E542">
        <v>2</v>
      </c>
      <c r="F542">
        <v>112.998</v>
      </c>
      <c r="G542">
        <v>0.4</v>
      </c>
      <c r="H542">
        <v>135.5976</v>
      </c>
    </row>
    <row r="543" spans="1:8" x14ac:dyDescent="0.55000000000000004">
      <c r="A543">
        <v>71936</v>
      </c>
      <c r="B543">
        <v>988</v>
      </c>
      <c r="C543">
        <v>30050</v>
      </c>
      <c r="D543" s="1">
        <v>39600</v>
      </c>
      <c r="E543">
        <v>5</v>
      </c>
      <c r="F543">
        <v>112.998</v>
      </c>
      <c r="G543">
        <v>0.4</v>
      </c>
      <c r="H543">
        <v>338.99400000000003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C6E21-C22F-413A-B494-9D29B5B3BDC8}">
  <sheetPr>
    <tabColor rgb="FFFF0000"/>
  </sheetPr>
  <dimension ref="A1:F408"/>
  <sheetViews>
    <sheetView workbookViewId="0">
      <selection activeCell="M8" sqref="M8"/>
    </sheetView>
  </sheetViews>
  <sheetFormatPr defaultRowHeight="14.4" x14ac:dyDescent="0.55000000000000004"/>
  <cols>
    <col min="1" max="1" width="12.5234375" bestFit="1" customWidth="1"/>
    <col min="2" max="2" width="27" bestFit="1" customWidth="1"/>
    <col min="3" max="3" width="40.3671875" bestFit="1" customWidth="1"/>
    <col min="4" max="4" width="15.15625" bestFit="1" customWidth="1"/>
    <col min="5" max="5" width="14.15625" bestFit="1" customWidth="1"/>
    <col min="6" max="6" width="15.1015625" bestFit="1" customWidth="1"/>
  </cols>
  <sheetData>
    <row r="1" spans="1:6" x14ac:dyDescent="0.55000000000000004">
      <c r="A1" t="s">
        <v>2</v>
      </c>
      <c r="B1" t="s">
        <v>8</v>
      </c>
      <c r="C1" t="s">
        <v>9</v>
      </c>
      <c r="D1" t="s">
        <v>10</v>
      </c>
      <c r="E1" t="s">
        <v>11</v>
      </c>
      <c r="F1" t="s">
        <v>12</v>
      </c>
    </row>
    <row r="2" spans="1:6" x14ac:dyDescent="0.55000000000000004">
      <c r="A2">
        <v>29485</v>
      </c>
      <c r="B2" t="s">
        <v>751</v>
      </c>
      <c r="C2" t="s">
        <v>752</v>
      </c>
      <c r="D2" t="s">
        <v>893</v>
      </c>
      <c r="E2" t="s">
        <v>894</v>
      </c>
      <c r="F2" t="s">
        <v>895</v>
      </c>
    </row>
    <row r="3" spans="1:6" x14ac:dyDescent="0.55000000000000004">
      <c r="A3">
        <v>29489</v>
      </c>
      <c r="B3" t="s">
        <v>641</v>
      </c>
      <c r="C3" t="s">
        <v>642</v>
      </c>
      <c r="D3" t="s">
        <v>896</v>
      </c>
      <c r="E3" t="s">
        <v>894</v>
      </c>
      <c r="F3" t="s">
        <v>895</v>
      </c>
    </row>
    <row r="4" spans="1:6" x14ac:dyDescent="0.55000000000000004">
      <c r="A4">
        <v>29522</v>
      </c>
      <c r="B4" t="s">
        <v>411</v>
      </c>
      <c r="C4" t="s">
        <v>412</v>
      </c>
      <c r="D4" t="s">
        <v>897</v>
      </c>
      <c r="E4" t="s">
        <v>894</v>
      </c>
      <c r="F4" t="s">
        <v>895</v>
      </c>
    </row>
    <row r="5" spans="1:6" x14ac:dyDescent="0.55000000000000004">
      <c r="A5">
        <v>29525</v>
      </c>
      <c r="B5" t="s">
        <v>481</v>
      </c>
      <c r="C5" t="s">
        <v>482</v>
      </c>
      <c r="D5" t="s">
        <v>898</v>
      </c>
      <c r="E5" t="s">
        <v>894</v>
      </c>
      <c r="F5" t="s">
        <v>895</v>
      </c>
    </row>
    <row r="6" spans="1:6" x14ac:dyDescent="0.55000000000000004">
      <c r="A6">
        <v>29560</v>
      </c>
      <c r="B6" t="s">
        <v>337</v>
      </c>
      <c r="C6" t="s">
        <v>338</v>
      </c>
      <c r="D6" t="s">
        <v>899</v>
      </c>
      <c r="E6" t="s">
        <v>894</v>
      </c>
      <c r="F6" t="s">
        <v>895</v>
      </c>
    </row>
    <row r="7" spans="1:6" x14ac:dyDescent="0.55000000000000004">
      <c r="A7">
        <v>29562</v>
      </c>
      <c r="B7" t="s">
        <v>785</v>
      </c>
      <c r="C7" t="s">
        <v>786</v>
      </c>
      <c r="D7" t="s">
        <v>900</v>
      </c>
      <c r="E7" t="s">
        <v>894</v>
      </c>
      <c r="F7" t="s">
        <v>895</v>
      </c>
    </row>
    <row r="8" spans="1:6" x14ac:dyDescent="0.55000000000000004">
      <c r="A8">
        <v>29565</v>
      </c>
      <c r="B8" t="s">
        <v>667</v>
      </c>
      <c r="C8" t="s">
        <v>668</v>
      </c>
      <c r="D8" t="s">
        <v>901</v>
      </c>
      <c r="E8" t="s">
        <v>894</v>
      </c>
      <c r="F8" t="s">
        <v>895</v>
      </c>
    </row>
    <row r="9" spans="1:6" x14ac:dyDescent="0.55000000000000004">
      <c r="A9">
        <v>29568</v>
      </c>
      <c r="B9" t="s">
        <v>49</v>
      </c>
      <c r="C9" t="s">
        <v>50</v>
      </c>
      <c r="D9" t="s">
        <v>902</v>
      </c>
      <c r="E9" t="s">
        <v>894</v>
      </c>
      <c r="F9" t="s">
        <v>895</v>
      </c>
    </row>
    <row r="10" spans="1:6" x14ac:dyDescent="0.55000000000000004">
      <c r="A10">
        <v>29573</v>
      </c>
      <c r="B10" t="s">
        <v>223</v>
      </c>
      <c r="C10" t="s">
        <v>224</v>
      </c>
      <c r="D10" t="s">
        <v>903</v>
      </c>
      <c r="E10" t="s">
        <v>894</v>
      </c>
      <c r="F10" t="s">
        <v>895</v>
      </c>
    </row>
    <row r="11" spans="1:6" x14ac:dyDescent="0.55000000000000004">
      <c r="A11">
        <v>29584</v>
      </c>
      <c r="B11" t="s">
        <v>203</v>
      </c>
      <c r="C11" t="s">
        <v>204</v>
      </c>
      <c r="D11" t="s">
        <v>897</v>
      </c>
      <c r="E11" t="s">
        <v>894</v>
      </c>
      <c r="F11" t="s">
        <v>895</v>
      </c>
    </row>
    <row r="12" spans="1:6" x14ac:dyDescent="0.55000000000000004">
      <c r="A12">
        <v>29598</v>
      </c>
      <c r="B12" t="s">
        <v>111</v>
      </c>
      <c r="C12" t="s">
        <v>112</v>
      </c>
      <c r="D12" t="s">
        <v>904</v>
      </c>
      <c r="E12" t="s">
        <v>894</v>
      </c>
      <c r="F12" t="s">
        <v>895</v>
      </c>
    </row>
    <row r="13" spans="1:6" x14ac:dyDescent="0.55000000000000004">
      <c r="A13">
        <v>29623</v>
      </c>
      <c r="B13" t="s">
        <v>359</v>
      </c>
      <c r="C13" t="s">
        <v>360</v>
      </c>
      <c r="D13" t="s">
        <v>905</v>
      </c>
      <c r="E13" t="s">
        <v>894</v>
      </c>
      <c r="F13" t="s">
        <v>895</v>
      </c>
    </row>
    <row r="14" spans="1:6" x14ac:dyDescent="0.55000000000000004">
      <c r="A14">
        <v>29631</v>
      </c>
      <c r="B14" t="s">
        <v>133</v>
      </c>
      <c r="C14" t="s">
        <v>134</v>
      </c>
      <c r="D14" t="s">
        <v>906</v>
      </c>
      <c r="E14" t="s">
        <v>894</v>
      </c>
      <c r="F14" t="s">
        <v>895</v>
      </c>
    </row>
    <row r="15" spans="1:6" x14ac:dyDescent="0.55000000000000004">
      <c r="A15">
        <v>29638</v>
      </c>
      <c r="B15" t="s">
        <v>23</v>
      </c>
      <c r="C15" t="s">
        <v>24</v>
      </c>
      <c r="D15" t="s">
        <v>907</v>
      </c>
      <c r="E15" t="s">
        <v>894</v>
      </c>
      <c r="F15" t="s">
        <v>895</v>
      </c>
    </row>
    <row r="16" spans="1:6" x14ac:dyDescent="0.55000000000000004">
      <c r="A16">
        <v>29641</v>
      </c>
      <c r="B16" t="s">
        <v>771</v>
      </c>
      <c r="C16" t="s">
        <v>772</v>
      </c>
      <c r="D16" t="s">
        <v>908</v>
      </c>
      <c r="E16" t="s">
        <v>894</v>
      </c>
      <c r="F16" t="s">
        <v>895</v>
      </c>
    </row>
    <row r="17" spans="1:6" x14ac:dyDescent="0.55000000000000004">
      <c r="A17">
        <v>29650</v>
      </c>
      <c r="B17" t="s">
        <v>553</v>
      </c>
      <c r="C17" t="s">
        <v>554</v>
      </c>
      <c r="D17" t="s">
        <v>909</v>
      </c>
      <c r="E17" t="s">
        <v>894</v>
      </c>
      <c r="F17" t="s">
        <v>895</v>
      </c>
    </row>
    <row r="18" spans="1:6" x14ac:dyDescent="0.55000000000000004">
      <c r="A18">
        <v>29660</v>
      </c>
      <c r="B18" t="s">
        <v>551</v>
      </c>
      <c r="C18" t="s">
        <v>552</v>
      </c>
      <c r="D18" t="s">
        <v>910</v>
      </c>
      <c r="E18" t="s">
        <v>894</v>
      </c>
      <c r="F18" t="s">
        <v>895</v>
      </c>
    </row>
    <row r="19" spans="1:6" x14ac:dyDescent="0.55000000000000004">
      <c r="A19">
        <v>29662</v>
      </c>
      <c r="B19" t="s">
        <v>201</v>
      </c>
      <c r="C19" t="s">
        <v>202</v>
      </c>
      <c r="D19" t="s">
        <v>911</v>
      </c>
      <c r="E19" t="s">
        <v>894</v>
      </c>
      <c r="F19" t="s">
        <v>895</v>
      </c>
    </row>
    <row r="20" spans="1:6" x14ac:dyDescent="0.55000000000000004">
      <c r="A20">
        <v>29673</v>
      </c>
      <c r="B20" t="s">
        <v>157</v>
      </c>
      <c r="C20" t="s">
        <v>158</v>
      </c>
      <c r="D20" t="s">
        <v>912</v>
      </c>
      <c r="E20" t="s">
        <v>894</v>
      </c>
      <c r="F20" t="s">
        <v>895</v>
      </c>
    </row>
    <row r="21" spans="1:6" x14ac:dyDescent="0.55000000000000004">
      <c r="A21">
        <v>29682</v>
      </c>
      <c r="B21" t="s">
        <v>503</v>
      </c>
      <c r="C21" t="s">
        <v>504</v>
      </c>
      <c r="D21" t="s">
        <v>913</v>
      </c>
      <c r="E21" t="s">
        <v>894</v>
      </c>
      <c r="F21" t="s">
        <v>895</v>
      </c>
    </row>
    <row r="22" spans="1:6" x14ac:dyDescent="0.55000000000000004">
      <c r="A22">
        <v>29686</v>
      </c>
      <c r="B22" t="s">
        <v>479</v>
      </c>
      <c r="C22" t="s">
        <v>480</v>
      </c>
      <c r="D22" t="s">
        <v>914</v>
      </c>
      <c r="E22" t="s">
        <v>894</v>
      </c>
      <c r="F22" t="s">
        <v>895</v>
      </c>
    </row>
    <row r="23" spans="1:6" x14ac:dyDescent="0.55000000000000004">
      <c r="A23">
        <v>29696</v>
      </c>
      <c r="B23" t="s">
        <v>409</v>
      </c>
      <c r="C23" t="s">
        <v>410</v>
      </c>
      <c r="D23" t="s">
        <v>915</v>
      </c>
      <c r="E23" t="s">
        <v>894</v>
      </c>
      <c r="F23" t="s">
        <v>895</v>
      </c>
    </row>
    <row r="24" spans="1:6" x14ac:dyDescent="0.55000000000000004">
      <c r="A24">
        <v>29703</v>
      </c>
      <c r="B24" t="s">
        <v>113</v>
      </c>
      <c r="C24" t="s">
        <v>114</v>
      </c>
      <c r="D24" t="s">
        <v>916</v>
      </c>
      <c r="E24" t="s">
        <v>894</v>
      </c>
      <c r="F24" t="s">
        <v>895</v>
      </c>
    </row>
    <row r="25" spans="1:6" x14ac:dyDescent="0.55000000000000004">
      <c r="A25">
        <v>29716</v>
      </c>
      <c r="B25" t="s">
        <v>221</v>
      </c>
      <c r="C25" t="s">
        <v>222</v>
      </c>
      <c r="D25" t="s">
        <v>917</v>
      </c>
      <c r="E25" t="s">
        <v>894</v>
      </c>
      <c r="F25" t="s">
        <v>895</v>
      </c>
    </row>
    <row r="26" spans="1:6" x14ac:dyDescent="0.55000000000000004">
      <c r="A26">
        <v>29757</v>
      </c>
      <c r="B26" t="s">
        <v>643</v>
      </c>
      <c r="C26" t="s">
        <v>644</v>
      </c>
      <c r="D26" t="s">
        <v>918</v>
      </c>
      <c r="E26" t="s">
        <v>894</v>
      </c>
      <c r="F26" t="s">
        <v>895</v>
      </c>
    </row>
    <row r="27" spans="1:6" x14ac:dyDescent="0.55000000000000004">
      <c r="A27">
        <v>29763</v>
      </c>
      <c r="B27" t="s">
        <v>621</v>
      </c>
      <c r="C27" t="s">
        <v>622</v>
      </c>
      <c r="D27" t="s">
        <v>919</v>
      </c>
      <c r="E27" t="s">
        <v>894</v>
      </c>
      <c r="F27" t="s">
        <v>895</v>
      </c>
    </row>
    <row r="28" spans="1:6" x14ac:dyDescent="0.55000000000000004">
      <c r="A28">
        <v>29768</v>
      </c>
      <c r="B28" t="s">
        <v>597</v>
      </c>
      <c r="C28" t="s">
        <v>598</v>
      </c>
      <c r="D28" t="s">
        <v>920</v>
      </c>
      <c r="E28" t="s">
        <v>894</v>
      </c>
      <c r="F28" t="s">
        <v>895</v>
      </c>
    </row>
    <row r="29" spans="1:6" x14ac:dyDescent="0.55000000000000004">
      <c r="A29">
        <v>29781</v>
      </c>
      <c r="B29" t="s">
        <v>363</v>
      </c>
      <c r="C29" t="s">
        <v>364</v>
      </c>
      <c r="D29" t="s">
        <v>921</v>
      </c>
      <c r="E29" t="s">
        <v>894</v>
      </c>
      <c r="F29" t="s">
        <v>895</v>
      </c>
    </row>
    <row r="30" spans="1:6" x14ac:dyDescent="0.55000000000000004">
      <c r="A30">
        <v>29784</v>
      </c>
      <c r="B30" t="s">
        <v>687</v>
      </c>
      <c r="C30" t="s">
        <v>688</v>
      </c>
      <c r="D30" t="s">
        <v>907</v>
      </c>
      <c r="E30" t="s">
        <v>894</v>
      </c>
      <c r="F30" t="s">
        <v>895</v>
      </c>
    </row>
    <row r="31" spans="1:6" x14ac:dyDescent="0.55000000000000004">
      <c r="A31">
        <v>29788</v>
      </c>
      <c r="B31" t="s">
        <v>435</v>
      </c>
      <c r="C31" t="s">
        <v>436</v>
      </c>
      <c r="D31" t="s">
        <v>922</v>
      </c>
      <c r="E31" t="s">
        <v>894</v>
      </c>
      <c r="F31" t="s">
        <v>895</v>
      </c>
    </row>
    <row r="32" spans="1:6" x14ac:dyDescent="0.55000000000000004">
      <c r="A32">
        <v>29793</v>
      </c>
      <c r="B32" t="s">
        <v>181</v>
      </c>
      <c r="C32" t="s">
        <v>182</v>
      </c>
      <c r="D32" t="s">
        <v>896</v>
      </c>
      <c r="E32" t="s">
        <v>894</v>
      </c>
      <c r="F32" t="s">
        <v>895</v>
      </c>
    </row>
    <row r="33" spans="1:6" x14ac:dyDescent="0.55000000000000004">
      <c r="A33">
        <v>29799</v>
      </c>
      <c r="B33" t="s">
        <v>89</v>
      </c>
      <c r="C33" t="s">
        <v>90</v>
      </c>
      <c r="D33" t="s">
        <v>923</v>
      </c>
      <c r="E33" t="s">
        <v>894</v>
      </c>
      <c r="F33" t="s">
        <v>895</v>
      </c>
    </row>
    <row r="34" spans="1:6" x14ac:dyDescent="0.55000000000000004">
      <c r="A34">
        <v>29805</v>
      </c>
      <c r="B34" t="s">
        <v>67</v>
      </c>
      <c r="C34" t="s">
        <v>68</v>
      </c>
      <c r="D34" t="s">
        <v>924</v>
      </c>
      <c r="E34" t="s">
        <v>894</v>
      </c>
      <c r="F34" t="s">
        <v>895</v>
      </c>
    </row>
    <row r="35" spans="1:6" x14ac:dyDescent="0.55000000000000004">
      <c r="A35">
        <v>29809</v>
      </c>
      <c r="B35" t="s">
        <v>45</v>
      </c>
      <c r="C35" t="s">
        <v>46</v>
      </c>
      <c r="D35" t="s">
        <v>925</v>
      </c>
      <c r="E35" t="s">
        <v>894</v>
      </c>
      <c r="F35" t="s">
        <v>895</v>
      </c>
    </row>
    <row r="36" spans="1:6" x14ac:dyDescent="0.55000000000000004">
      <c r="A36">
        <v>29815</v>
      </c>
      <c r="B36" t="s">
        <v>21</v>
      </c>
      <c r="C36" t="s">
        <v>22</v>
      </c>
      <c r="D36" t="s">
        <v>926</v>
      </c>
      <c r="E36" t="s">
        <v>894</v>
      </c>
      <c r="F36" t="s">
        <v>895</v>
      </c>
    </row>
    <row r="37" spans="1:6" x14ac:dyDescent="0.55000000000000004">
      <c r="A37">
        <v>29834</v>
      </c>
      <c r="B37" t="s">
        <v>831</v>
      </c>
      <c r="C37" t="s">
        <v>832</v>
      </c>
      <c r="D37" t="s">
        <v>902</v>
      </c>
      <c r="E37" t="s">
        <v>894</v>
      </c>
      <c r="F37" t="s">
        <v>895</v>
      </c>
    </row>
    <row r="38" spans="1:6" x14ac:dyDescent="0.55000000000000004">
      <c r="A38">
        <v>29847</v>
      </c>
      <c r="B38" t="s">
        <v>787</v>
      </c>
      <c r="C38" t="s">
        <v>788</v>
      </c>
      <c r="D38" t="s">
        <v>927</v>
      </c>
      <c r="E38" t="s">
        <v>894</v>
      </c>
      <c r="F38" t="s">
        <v>895</v>
      </c>
    </row>
    <row r="39" spans="1:6" x14ac:dyDescent="0.55000000000000004">
      <c r="A39">
        <v>29853</v>
      </c>
      <c r="B39" t="s">
        <v>531</v>
      </c>
      <c r="C39" t="s">
        <v>532</v>
      </c>
      <c r="D39" t="s">
        <v>928</v>
      </c>
      <c r="E39" t="s">
        <v>894</v>
      </c>
      <c r="F39" t="s">
        <v>895</v>
      </c>
    </row>
    <row r="40" spans="1:6" x14ac:dyDescent="0.55000000000000004">
      <c r="A40">
        <v>29865</v>
      </c>
      <c r="B40" t="s">
        <v>341</v>
      </c>
      <c r="C40" t="s">
        <v>342</v>
      </c>
      <c r="D40" t="s">
        <v>929</v>
      </c>
      <c r="E40" t="s">
        <v>894</v>
      </c>
      <c r="F40" t="s">
        <v>895</v>
      </c>
    </row>
    <row r="41" spans="1:6" x14ac:dyDescent="0.55000000000000004">
      <c r="A41">
        <v>29871</v>
      </c>
      <c r="B41" t="s">
        <v>319</v>
      </c>
      <c r="C41" t="s">
        <v>320</v>
      </c>
      <c r="D41" t="s">
        <v>930</v>
      </c>
      <c r="E41" t="s">
        <v>894</v>
      </c>
      <c r="F41" t="s">
        <v>895</v>
      </c>
    </row>
    <row r="42" spans="1:6" x14ac:dyDescent="0.55000000000000004">
      <c r="A42">
        <v>29889</v>
      </c>
      <c r="B42" t="s">
        <v>271</v>
      </c>
      <c r="C42" t="s">
        <v>272</v>
      </c>
      <c r="D42" t="s">
        <v>931</v>
      </c>
      <c r="E42" t="s">
        <v>894</v>
      </c>
      <c r="F42" t="s">
        <v>895</v>
      </c>
    </row>
    <row r="43" spans="1:6" x14ac:dyDescent="0.55000000000000004">
      <c r="A43">
        <v>29893</v>
      </c>
      <c r="B43" t="s">
        <v>245</v>
      </c>
      <c r="C43" t="s">
        <v>246</v>
      </c>
      <c r="D43" t="s">
        <v>932</v>
      </c>
      <c r="E43" t="s">
        <v>894</v>
      </c>
      <c r="F43" t="s">
        <v>895</v>
      </c>
    </row>
    <row r="44" spans="1:6" x14ac:dyDescent="0.55000000000000004">
      <c r="A44">
        <v>29901</v>
      </c>
      <c r="B44" t="s">
        <v>507</v>
      </c>
      <c r="C44" t="s">
        <v>508</v>
      </c>
      <c r="D44" t="s">
        <v>933</v>
      </c>
      <c r="E44" t="s">
        <v>894</v>
      </c>
      <c r="F44" t="s">
        <v>895</v>
      </c>
    </row>
    <row r="45" spans="1:6" x14ac:dyDescent="0.55000000000000004">
      <c r="A45">
        <v>29914</v>
      </c>
      <c r="B45" t="s">
        <v>705</v>
      </c>
      <c r="C45" t="s">
        <v>706</v>
      </c>
      <c r="D45" t="s">
        <v>934</v>
      </c>
      <c r="E45" t="s">
        <v>894</v>
      </c>
      <c r="F45" t="s">
        <v>895</v>
      </c>
    </row>
    <row r="46" spans="1:6" x14ac:dyDescent="0.55000000000000004">
      <c r="A46">
        <v>29919</v>
      </c>
      <c r="B46" t="s">
        <v>137</v>
      </c>
      <c r="C46" t="s">
        <v>138</v>
      </c>
      <c r="D46" t="s">
        <v>935</v>
      </c>
      <c r="E46" t="s">
        <v>894</v>
      </c>
      <c r="F46" t="s">
        <v>895</v>
      </c>
    </row>
    <row r="47" spans="1:6" x14ac:dyDescent="0.55000000000000004">
      <c r="A47">
        <v>29929</v>
      </c>
      <c r="B47" t="s">
        <v>93</v>
      </c>
      <c r="C47" t="s">
        <v>94</v>
      </c>
      <c r="D47" t="s">
        <v>936</v>
      </c>
      <c r="E47" t="s">
        <v>894</v>
      </c>
      <c r="F47" t="s">
        <v>895</v>
      </c>
    </row>
    <row r="48" spans="1:6" x14ac:dyDescent="0.55000000000000004">
      <c r="A48">
        <v>29938</v>
      </c>
      <c r="B48" t="s">
        <v>249</v>
      </c>
      <c r="C48" t="s">
        <v>250</v>
      </c>
      <c r="D48" t="s">
        <v>937</v>
      </c>
      <c r="E48" t="s">
        <v>894</v>
      </c>
      <c r="F48" t="s">
        <v>895</v>
      </c>
    </row>
    <row r="49" spans="1:6" x14ac:dyDescent="0.55000000000000004">
      <c r="A49">
        <v>29944</v>
      </c>
      <c r="B49" t="s">
        <v>135</v>
      </c>
      <c r="C49" t="s">
        <v>136</v>
      </c>
      <c r="D49" t="s">
        <v>938</v>
      </c>
      <c r="E49" t="s">
        <v>894</v>
      </c>
      <c r="F49" t="s">
        <v>895</v>
      </c>
    </row>
    <row r="50" spans="1:6" x14ac:dyDescent="0.55000000000000004">
      <c r="A50">
        <v>29957</v>
      </c>
      <c r="B50" t="s">
        <v>47</v>
      </c>
      <c r="C50" t="s">
        <v>48</v>
      </c>
      <c r="D50" t="s">
        <v>939</v>
      </c>
      <c r="E50" t="s">
        <v>894</v>
      </c>
      <c r="F50" t="s">
        <v>895</v>
      </c>
    </row>
    <row r="51" spans="1:6" x14ac:dyDescent="0.55000000000000004">
      <c r="A51">
        <v>29975</v>
      </c>
      <c r="B51" t="s">
        <v>833</v>
      </c>
      <c r="C51" t="s">
        <v>834</v>
      </c>
      <c r="D51" t="s">
        <v>938</v>
      </c>
      <c r="E51" t="s">
        <v>894</v>
      </c>
      <c r="F51" t="s">
        <v>895</v>
      </c>
    </row>
    <row r="52" spans="1:6" x14ac:dyDescent="0.55000000000000004">
      <c r="A52">
        <v>29982</v>
      </c>
      <c r="B52" t="s">
        <v>863</v>
      </c>
      <c r="C52" t="s">
        <v>864</v>
      </c>
      <c r="D52" t="s">
        <v>940</v>
      </c>
      <c r="E52" t="s">
        <v>894</v>
      </c>
      <c r="F52" t="s">
        <v>895</v>
      </c>
    </row>
    <row r="53" spans="1:6" x14ac:dyDescent="0.55000000000000004">
      <c r="A53">
        <v>29998</v>
      </c>
      <c r="B53" t="s">
        <v>315</v>
      </c>
      <c r="C53" t="s">
        <v>316</v>
      </c>
      <c r="D53" t="s">
        <v>941</v>
      </c>
      <c r="E53" t="s">
        <v>894</v>
      </c>
      <c r="F53" t="s">
        <v>895</v>
      </c>
    </row>
    <row r="54" spans="1:6" x14ac:dyDescent="0.55000000000000004">
      <c r="A54">
        <v>30012</v>
      </c>
      <c r="B54" t="s">
        <v>685</v>
      </c>
      <c r="C54" t="s">
        <v>686</v>
      </c>
      <c r="D54" t="s">
        <v>942</v>
      </c>
      <c r="E54" t="s">
        <v>894</v>
      </c>
      <c r="F54" t="s">
        <v>895</v>
      </c>
    </row>
    <row r="55" spans="1:6" x14ac:dyDescent="0.55000000000000004">
      <c r="A55">
        <v>30022</v>
      </c>
      <c r="B55" t="s">
        <v>413</v>
      </c>
      <c r="C55" t="s">
        <v>414</v>
      </c>
      <c r="D55" t="s">
        <v>943</v>
      </c>
      <c r="E55" t="s">
        <v>894</v>
      </c>
      <c r="F55" t="s">
        <v>895</v>
      </c>
    </row>
    <row r="56" spans="1:6" x14ac:dyDescent="0.55000000000000004">
      <c r="A56">
        <v>30027</v>
      </c>
      <c r="B56" t="s">
        <v>389</v>
      </c>
      <c r="C56" t="s">
        <v>390</v>
      </c>
      <c r="D56" t="s">
        <v>944</v>
      </c>
      <c r="E56" t="s">
        <v>894</v>
      </c>
      <c r="F56" t="s">
        <v>895</v>
      </c>
    </row>
    <row r="57" spans="1:6" x14ac:dyDescent="0.55000000000000004">
      <c r="A57">
        <v>30047</v>
      </c>
      <c r="B57" t="s">
        <v>645</v>
      </c>
      <c r="C57" t="s">
        <v>646</v>
      </c>
      <c r="D57" t="s">
        <v>945</v>
      </c>
      <c r="E57" t="s">
        <v>894</v>
      </c>
      <c r="F57" t="s">
        <v>895</v>
      </c>
    </row>
    <row r="58" spans="1:6" x14ac:dyDescent="0.55000000000000004">
      <c r="A58">
        <v>30052</v>
      </c>
      <c r="B58" t="s">
        <v>669</v>
      </c>
      <c r="C58" t="s">
        <v>670</v>
      </c>
      <c r="D58" t="s">
        <v>946</v>
      </c>
      <c r="E58" t="s">
        <v>894</v>
      </c>
      <c r="F58" t="s">
        <v>895</v>
      </c>
    </row>
    <row r="59" spans="1:6" x14ac:dyDescent="0.55000000000000004">
      <c r="A59">
        <v>30056</v>
      </c>
      <c r="B59" t="s">
        <v>505</v>
      </c>
      <c r="C59" t="s">
        <v>506</v>
      </c>
      <c r="D59" t="s">
        <v>947</v>
      </c>
      <c r="E59" t="s">
        <v>894</v>
      </c>
      <c r="F59" t="s">
        <v>895</v>
      </c>
    </row>
    <row r="60" spans="1:6" x14ac:dyDescent="0.55000000000000004">
      <c r="A60">
        <v>30063</v>
      </c>
      <c r="B60" t="s">
        <v>177</v>
      </c>
      <c r="C60" t="s">
        <v>178</v>
      </c>
      <c r="D60" t="s">
        <v>902</v>
      </c>
      <c r="E60" t="s">
        <v>894</v>
      </c>
      <c r="F60" t="s">
        <v>895</v>
      </c>
    </row>
    <row r="61" spans="1:6" x14ac:dyDescent="0.55000000000000004">
      <c r="A61">
        <v>30069</v>
      </c>
      <c r="B61" t="s">
        <v>155</v>
      </c>
      <c r="C61" t="s">
        <v>156</v>
      </c>
      <c r="D61" t="s">
        <v>948</v>
      </c>
      <c r="E61" t="s">
        <v>894</v>
      </c>
      <c r="F61" t="s">
        <v>895</v>
      </c>
    </row>
    <row r="62" spans="1:6" x14ac:dyDescent="0.55000000000000004">
      <c r="A62">
        <v>30089</v>
      </c>
      <c r="B62" t="s">
        <v>361</v>
      </c>
      <c r="C62" t="s">
        <v>362</v>
      </c>
      <c r="D62" t="s">
        <v>944</v>
      </c>
      <c r="E62" t="s">
        <v>894</v>
      </c>
      <c r="F62" t="s">
        <v>895</v>
      </c>
    </row>
    <row r="63" spans="1:6" x14ac:dyDescent="0.55000000000000004">
      <c r="A63">
        <v>30094</v>
      </c>
      <c r="B63" t="s">
        <v>339</v>
      </c>
      <c r="C63" t="s">
        <v>340</v>
      </c>
      <c r="D63" t="s">
        <v>949</v>
      </c>
      <c r="E63" t="s">
        <v>894</v>
      </c>
      <c r="F63" t="s">
        <v>895</v>
      </c>
    </row>
    <row r="64" spans="1:6" x14ac:dyDescent="0.55000000000000004">
      <c r="A64">
        <v>30100</v>
      </c>
      <c r="B64" t="s">
        <v>317</v>
      </c>
      <c r="C64" t="s">
        <v>318</v>
      </c>
      <c r="D64" t="s">
        <v>950</v>
      </c>
      <c r="E64" t="s">
        <v>894</v>
      </c>
      <c r="F64" t="s">
        <v>895</v>
      </c>
    </row>
    <row r="65" spans="1:6" x14ac:dyDescent="0.55000000000000004">
      <c r="A65">
        <v>30110</v>
      </c>
      <c r="B65" t="s">
        <v>459</v>
      </c>
      <c r="C65" t="s">
        <v>460</v>
      </c>
      <c r="D65" t="s">
        <v>932</v>
      </c>
      <c r="E65" t="s">
        <v>894</v>
      </c>
      <c r="F65" t="s">
        <v>895</v>
      </c>
    </row>
    <row r="66" spans="1:6" x14ac:dyDescent="0.55000000000000004">
      <c r="A66">
        <v>30116</v>
      </c>
      <c r="B66" t="s">
        <v>437</v>
      </c>
      <c r="C66" t="s">
        <v>438</v>
      </c>
      <c r="D66" t="s">
        <v>916</v>
      </c>
      <c r="E66" t="s">
        <v>894</v>
      </c>
      <c r="F66" t="s">
        <v>895</v>
      </c>
    </row>
    <row r="67" spans="1:6" x14ac:dyDescent="0.55000000000000004">
      <c r="A67">
        <v>29486</v>
      </c>
      <c r="B67" t="s">
        <v>745</v>
      </c>
      <c r="C67" t="s">
        <v>746</v>
      </c>
      <c r="D67" t="s">
        <v>951</v>
      </c>
      <c r="E67" t="s">
        <v>952</v>
      </c>
      <c r="F67" t="s">
        <v>895</v>
      </c>
    </row>
    <row r="68" spans="1:6" x14ac:dyDescent="0.55000000000000004">
      <c r="A68">
        <v>29490</v>
      </c>
      <c r="B68" t="s">
        <v>635</v>
      </c>
      <c r="C68" t="s">
        <v>636</v>
      </c>
      <c r="D68" t="s">
        <v>953</v>
      </c>
      <c r="E68" t="s">
        <v>954</v>
      </c>
      <c r="F68" t="s">
        <v>895</v>
      </c>
    </row>
    <row r="69" spans="1:6" x14ac:dyDescent="0.55000000000000004">
      <c r="A69">
        <v>29492</v>
      </c>
      <c r="B69" t="s">
        <v>703</v>
      </c>
      <c r="C69" t="s">
        <v>704</v>
      </c>
      <c r="D69" t="s">
        <v>955</v>
      </c>
      <c r="E69" t="s">
        <v>956</v>
      </c>
      <c r="F69" t="s">
        <v>895</v>
      </c>
    </row>
    <row r="70" spans="1:6" x14ac:dyDescent="0.55000000000000004">
      <c r="A70">
        <v>29496</v>
      </c>
      <c r="B70" t="s">
        <v>665</v>
      </c>
      <c r="C70" t="s">
        <v>666</v>
      </c>
      <c r="D70" t="s">
        <v>957</v>
      </c>
      <c r="E70" t="s">
        <v>958</v>
      </c>
      <c r="F70" t="s">
        <v>895</v>
      </c>
    </row>
    <row r="71" spans="1:6" x14ac:dyDescent="0.55000000000000004">
      <c r="A71">
        <v>29497</v>
      </c>
      <c r="B71" t="s">
        <v>659</v>
      </c>
      <c r="C71" t="s">
        <v>660</v>
      </c>
      <c r="D71" t="s">
        <v>959</v>
      </c>
      <c r="E71" t="s">
        <v>960</v>
      </c>
      <c r="F71" t="s">
        <v>895</v>
      </c>
    </row>
    <row r="72" spans="1:6" x14ac:dyDescent="0.55000000000000004">
      <c r="A72">
        <v>29502</v>
      </c>
      <c r="B72" t="s">
        <v>721</v>
      </c>
      <c r="C72" t="s">
        <v>722</v>
      </c>
      <c r="D72" t="s">
        <v>961</v>
      </c>
      <c r="E72" t="s">
        <v>960</v>
      </c>
      <c r="F72" t="s">
        <v>895</v>
      </c>
    </row>
    <row r="73" spans="1:6" x14ac:dyDescent="0.55000000000000004">
      <c r="A73">
        <v>29505</v>
      </c>
      <c r="B73" t="s">
        <v>729</v>
      </c>
      <c r="C73" t="s">
        <v>730</v>
      </c>
      <c r="D73" t="s">
        <v>962</v>
      </c>
      <c r="E73" t="s">
        <v>963</v>
      </c>
      <c r="F73" t="s">
        <v>895</v>
      </c>
    </row>
    <row r="74" spans="1:6" x14ac:dyDescent="0.55000000000000004">
      <c r="A74">
        <v>29506</v>
      </c>
      <c r="B74" t="s">
        <v>727</v>
      </c>
      <c r="C74" t="s">
        <v>728</v>
      </c>
      <c r="D74" t="s">
        <v>964</v>
      </c>
      <c r="E74" t="s">
        <v>958</v>
      </c>
      <c r="F74" t="s">
        <v>895</v>
      </c>
    </row>
    <row r="75" spans="1:6" x14ac:dyDescent="0.55000000000000004">
      <c r="A75">
        <v>29508</v>
      </c>
      <c r="B75" t="s">
        <v>723</v>
      </c>
      <c r="C75" t="s">
        <v>724</v>
      </c>
      <c r="D75" t="s">
        <v>965</v>
      </c>
      <c r="E75" t="s">
        <v>966</v>
      </c>
      <c r="F75" t="s">
        <v>895</v>
      </c>
    </row>
    <row r="76" spans="1:6" x14ac:dyDescent="0.55000000000000004">
      <c r="A76">
        <v>29511</v>
      </c>
      <c r="B76" t="s">
        <v>457</v>
      </c>
      <c r="C76" t="s">
        <v>458</v>
      </c>
      <c r="D76" t="s">
        <v>967</v>
      </c>
      <c r="E76" t="s">
        <v>968</v>
      </c>
      <c r="F76" t="s">
        <v>895</v>
      </c>
    </row>
    <row r="77" spans="1:6" x14ac:dyDescent="0.55000000000000004">
      <c r="A77">
        <v>29517</v>
      </c>
      <c r="B77" t="s">
        <v>469</v>
      </c>
      <c r="C77" t="s">
        <v>470</v>
      </c>
      <c r="D77" t="s">
        <v>969</v>
      </c>
      <c r="E77" t="s">
        <v>970</v>
      </c>
      <c r="F77" t="s">
        <v>895</v>
      </c>
    </row>
    <row r="78" spans="1:6" x14ac:dyDescent="0.55000000000000004">
      <c r="A78">
        <v>29521</v>
      </c>
      <c r="B78" t="s">
        <v>527</v>
      </c>
      <c r="C78" t="s">
        <v>528</v>
      </c>
      <c r="D78" t="s">
        <v>971</v>
      </c>
      <c r="E78" t="s">
        <v>963</v>
      </c>
      <c r="F78" t="s">
        <v>895</v>
      </c>
    </row>
    <row r="79" spans="1:6" x14ac:dyDescent="0.55000000000000004">
      <c r="A79">
        <v>29523</v>
      </c>
      <c r="B79" t="s">
        <v>405</v>
      </c>
      <c r="C79" t="s">
        <v>406</v>
      </c>
      <c r="D79" t="s">
        <v>972</v>
      </c>
      <c r="E79" t="s">
        <v>966</v>
      </c>
      <c r="F79" t="s">
        <v>895</v>
      </c>
    </row>
    <row r="80" spans="1:6" x14ac:dyDescent="0.55000000000000004">
      <c r="A80">
        <v>29524</v>
      </c>
      <c r="B80" t="s">
        <v>475</v>
      </c>
      <c r="C80" t="s">
        <v>476</v>
      </c>
      <c r="D80" t="s">
        <v>973</v>
      </c>
      <c r="E80" t="s">
        <v>956</v>
      </c>
      <c r="F80" t="s">
        <v>895</v>
      </c>
    </row>
    <row r="81" spans="1:6" x14ac:dyDescent="0.55000000000000004">
      <c r="A81">
        <v>29528</v>
      </c>
      <c r="B81" t="s">
        <v>399</v>
      </c>
      <c r="C81" t="s">
        <v>400</v>
      </c>
      <c r="D81" t="s">
        <v>974</v>
      </c>
      <c r="E81" t="s">
        <v>970</v>
      </c>
      <c r="F81" t="s">
        <v>895</v>
      </c>
    </row>
    <row r="82" spans="1:6" x14ac:dyDescent="0.55000000000000004">
      <c r="A82">
        <v>29531</v>
      </c>
      <c r="B82" t="s">
        <v>575</v>
      </c>
      <c r="C82" t="s">
        <v>576</v>
      </c>
      <c r="D82" t="s">
        <v>971</v>
      </c>
      <c r="E82" t="s">
        <v>963</v>
      </c>
      <c r="F82" t="s">
        <v>895</v>
      </c>
    </row>
    <row r="83" spans="1:6" x14ac:dyDescent="0.55000000000000004">
      <c r="A83">
        <v>29532</v>
      </c>
      <c r="B83" t="s">
        <v>567</v>
      </c>
      <c r="C83" t="s">
        <v>568</v>
      </c>
      <c r="D83" t="s">
        <v>975</v>
      </c>
      <c r="E83" t="s">
        <v>976</v>
      </c>
      <c r="F83" t="s">
        <v>895</v>
      </c>
    </row>
    <row r="84" spans="1:6" x14ac:dyDescent="0.55000000000000004">
      <c r="A84">
        <v>29533</v>
      </c>
      <c r="B84" t="s">
        <v>563</v>
      </c>
      <c r="C84" t="s">
        <v>564</v>
      </c>
      <c r="D84" t="s">
        <v>977</v>
      </c>
      <c r="E84" t="s">
        <v>970</v>
      </c>
      <c r="F84" t="s">
        <v>895</v>
      </c>
    </row>
    <row r="85" spans="1:6" x14ac:dyDescent="0.55000000000000004">
      <c r="A85">
        <v>29535</v>
      </c>
      <c r="B85" t="s">
        <v>381</v>
      </c>
      <c r="C85" t="s">
        <v>382</v>
      </c>
      <c r="D85" t="s">
        <v>978</v>
      </c>
      <c r="E85" t="s">
        <v>966</v>
      </c>
      <c r="F85" t="s">
        <v>895</v>
      </c>
    </row>
    <row r="86" spans="1:6" x14ac:dyDescent="0.55000000000000004">
      <c r="A86">
        <v>29536</v>
      </c>
      <c r="B86" t="s">
        <v>375</v>
      </c>
      <c r="C86" t="s">
        <v>376</v>
      </c>
      <c r="D86" t="s">
        <v>979</v>
      </c>
      <c r="E86" t="s">
        <v>970</v>
      </c>
      <c r="F86" t="s">
        <v>895</v>
      </c>
    </row>
    <row r="87" spans="1:6" x14ac:dyDescent="0.55000000000000004">
      <c r="A87">
        <v>29545</v>
      </c>
      <c r="B87" t="s">
        <v>37</v>
      </c>
      <c r="C87" t="s">
        <v>38</v>
      </c>
      <c r="D87" t="s">
        <v>980</v>
      </c>
      <c r="E87" t="s">
        <v>981</v>
      </c>
      <c r="F87" t="s">
        <v>895</v>
      </c>
    </row>
    <row r="88" spans="1:6" x14ac:dyDescent="0.55000000000000004">
      <c r="A88">
        <v>29550</v>
      </c>
      <c r="B88" t="s">
        <v>239</v>
      </c>
      <c r="C88" t="s">
        <v>240</v>
      </c>
      <c r="D88" t="s">
        <v>982</v>
      </c>
      <c r="E88" t="s">
        <v>983</v>
      </c>
      <c r="F88" t="s">
        <v>895</v>
      </c>
    </row>
    <row r="89" spans="1:6" x14ac:dyDescent="0.55000000000000004">
      <c r="A89">
        <v>29553</v>
      </c>
      <c r="B89" t="s">
        <v>267</v>
      </c>
      <c r="C89" t="s">
        <v>268</v>
      </c>
      <c r="D89" t="s">
        <v>984</v>
      </c>
      <c r="E89" t="s">
        <v>966</v>
      </c>
      <c r="F89" t="s">
        <v>895</v>
      </c>
    </row>
    <row r="90" spans="1:6" x14ac:dyDescent="0.55000000000000004">
      <c r="A90">
        <v>29554</v>
      </c>
      <c r="B90" t="s">
        <v>261</v>
      </c>
      <c r="C90" t="s">
        <v>262</v>
      </c>
      <c r="D90" t="s">
        <v>985</v>
      </c>
      <c r="E90" t="s">
        <v>970</v>
      </c>
      <c r="F90" t="s">
        <v>895</v>
      </c>
    </row>
    <row r="91" spans="1:6" x14ac:dyDescent="0.55000000000000004">
      <c r="A91">
        <v>29559</v>
      </c>
      <c r="B91" t="s">
        <v>331</v>
      </c>
      <c r="C91" t="s">
        <v>332</v>
      </c>
      <c r="D91" t="s">
        <v>986</v>
      </c>
      <c r="E91" t="s">
        <v>981</v>
      </c>
      <c r="F91" t="s">
        <v>895</v>
      </c>
    </row>
    <row r="92" spans="1:6" x14ac:dyDescent="0.55000000000000004">
      <c r="A92">
        <v>29566</v>
      </c>
      <c r="B92" t="s">
        <v>655</v>
      </c>
      <c r="C92" t="s">
        <v>656</v>
      </c>
      <c r="D92" t="s">
        <v>987</v>
      </c>
      <c r="E92" t="s">
        <v>970</v>
      </c>
      <c r="F92" t="s">
        <v>895</v>
      </c>
    </row>
    <row r="93" spans="1:6" x14ac:dyDescent="0.55000000000000004">
      <c r="A93">
        <v>29569</v>
      </c>
      <c r="B93" t="s">
        <v>43</v>
      </c>
      <c r="C93" t="s">
        <v>44</v>
      </c>
      <c r="D93" t="s">
        <v>988</v>
      </c>
      <c r="E93" t="s">
        <v>989</v>
      </c>
      <c r="F93" t="s">
        <v>895</v>
      </c>
    </row>
    <row r="94" spans="1:6" x14ac:dyDescent="0.55000000000000004">
      <c r="A94">
        <v>29570</v>
      </c>
      <c r="B94" t="s">
        <v>383</v>
      </c>
      <c r="C94" t="s">
        <v>384</v>
      </c>
      <c r="D94" t="s">
        <v>972</v>
      </c>
      <c r="E94" t="s">
        <v>966</v>
      </c>
      <c r="F94" t="s">
        <v>895</v>
      </c>
    </row>
    <row r="95" spans="1:6" x14ac:dyDescent="0.55000000000000004">
      <c r="A95">
        <v>29571</v>
      </c>
      <c r="B95" t="s">
        <v>377</v>
      </c>
      <c r="C95" t="s">
        <v>378</v>
      </c>
      <c r="D95" t="s">
        <v>990</v>
      </c>
      <c r="E95" t="s">
        <v>981</v>
      </c>
      <c r="F95" t="s">
        <v>895</v>
      </c>
    </row>
    <row r="96" spans="1:6" x14ac:dyDescent="0.55000000000000004">
      <c r="A96">
        <v>29574</v>
      </c>
      <c r="B96" t="s">
        <v>217</v>
      </c>
      <c r="C96" t="s">
        <v>218</v>
      </c>
      <c r="D96" t="s">
        <v>984</v>
      </c>
      <c r="E96" t="s">
        <v>966</v>
      </c>
      <c r="F96" t="s">
        <v>895</v>
      </c>
    </row>
    <row r="97" spans="1:6" x14ac:dyDescent="0.55000000000000004">
      <c r="A97">
        <v>29579</v>
      </c>
      <c r="B97" t="s">
        <v>199</v>
      </c>
      <c r="C97" t="s">
        <v>200</v>
      </c>
      <c r="D97" t="s">
        <v>991</v>
      </c>
      <c r="E97" t="s">
        <v>968</v>
      </c>
      <c r="F97" t="s">
        <v>895</v>
      </c>
    </row>
    <row r="98" spans="1:6" x14ac:dyDescent="0.55000000000000004">
      <c r="A98">
        <v>29580</v>
      </c>
      <c r="B98" t="s">
        <v>193</v>
      </c>
      <c r="C98" t="s">
        <v>194</v>
      </c>
      <c r="D98" t="s">
        <v>992</v>
      </c>
      <c r="E98" t="s">
        <v>981</v>
      </c>
      <c r="F98" t="s">
        <v>895</v>
      </c>
    </row>
    <row r="99" spans="1:6" x14ac:dyDescent="0.55000000000000004">
      <c r="A99">
        <v>29582</v>
      </c>
      <c r="B99" t="s">
        <v>191</v>
      </c>
      <c r="C99" t="s">
        <v>192</v>
      </c>
      <c r="D99" t="s">
        <v>993</v>
      </c>
      <c r="E99" t="s">
        <v>981</v>
      </c>
      <c r="F99" t="s">
        <v>895</v>
      </c>
    </row>
    <row r="100" spans="1:6" x14ac:dyDescent="0.55000000000000004">
      <c r="A100">
        <v>29583</v>
      </c>
      <c r="B100" t="s">
        <v>197</v>
      </c>
      <c r="C100" t="s">
        <v>198</v>
      </c>
      <c r="D100" t="s">
        <v>994</v>
      </c>
      <c r="E100" t="s">
        <v>995</v>
      </c>
      <c r="F100" t="s">
        <v>895</v>
      </c>
    </row>
    <row r="101" spans="1:6" x14ac:dyDescent="0.55000000000000004">
      <c r="A101">
        <v>29585</v>
      </c>
      <c r="B101" t="s">
        <v>105</v>
      </c>
      <c r="C101" t="s">
        <v>106</v>
      </c>
      <c r="D101" t="s">
        <v>996</v>
      </c>
      <c r="E101" t="s">
        <v>983</v>
      </c>
      <c r="F101" t="s">
        <v>895</v>
      </c>
    </row>
    <row r="102" spans="1:6" x14ac:dyDescent="0.55000000000000004">
      <c r="A102">
        <v>29588</v>
      </c>
      <c r="B102" t="s">
        <v>697</v>
      </c>
      <c r="C102" t="s">
        <v>698</v>
      </c>
      <c r="D102" t="s">
        <v>997</v>
      </c>
      <c r="E102" t="s">
        <v>976</v>
      </c>
      <c r="F102" t="s">
        <v>895</v>
      </c>
    </row>
    <row r="103" spans="1:6" x14ac:dyDescent="0.55000000000000004">
      <c r="A103">
        <v>29590</v>
      </c>
      <c r="B103" t="s">
        <v>423</v>
      </c>
      <c r="C103" t="s">
        <v>424</v>
      </c>
      <c r="D103" t="s">
        <v>998</v>
      </c>
      <c r="E103" t="s">
        <v>970</v>
      </c>
      <c r="F103" t="s">
        <v>895</v>
      </c>
    </row>
    <row r="104" spans="1:6" x14ac:dyDescent="0.55000000000000004">
      <c r="A104">
        <v>29591</v>
      </c>
      <c r="B104" t="s">
        <v>291</v>
      </c>
      <c r="C104" t="s">
        <v>292</v>
      </c>
      <c r="D104" t="s">
        <v>999</v>
      </c>
      <c r="E104" t="s">
        <v>956</v>
      </c>
      <c r="F104" t="s">
        <v>895</v>
      </c>
    </row>
    <row r="105" spans="1:6" x14ac:dyDescent="0.55000000000000004">
      <c r="A105">
        <v>29593</v>
      </c>
      <c r="B105" t="s">
        <v>311</v>
      </c>
      <c r="C105" t="s">
        <v>312</v>
      </c>
      <c r="D105" t="s">
        <v>1000</v>
      </c>
      <c r="E105" t="s">
        <v>995</v>
      </c>
      <c r="F105" t="s">
        <v>895</v>
      </c>
    </row>
    <row r="106" spans="1:6" x14ac:dyDescent="0.55000000000000004">
      <c r="A106">
        <v>29599</v>
      </c>
      <c r="B106" t="s">
        <v>521</v>
      </c>
      <c r="C106" t="s">
        <v>522</v>
      </c>
      <c r="D106" t="s">
        <v>1001</v>
      </c>
      <c r="E106" t="s">
        <v>954</v>
      </c>
      <c r="F106" t="s">
        <v>895</v>
      </c>
    </row>
    <row r="107" spans="1:6" x14ac:dyDescent="0.55000000000000004">
      <c r="A107">
        <v>29600</v>
      </c>
      <c r="B107" t="s">
        <v>517</v>
      </c>
      <c r="C107" t="s">
        <v>518</v>
      </c>
      <c r="D107" t="s">
        <v>1002</v>
      </c>
      <c r="E107" t="s">
        <v>970</v>
      </c>
      <c r="F107" t="s">
        <v>895</v>
      </c>
    </row>
    <row r="108" spans="1:6" x14ac:dyDescent="0.55000000000000004">
      <c r="A108">
        <v>29605</v>
      </c>
      <c r="B108" t="s">
        <v>573</v>
      </c>
      <c r="C108" t="s">
        <v>574</v>
      </c>
      <c r="D108" t="s">
        <v>1003</v>
      </c>
      <c r="E108" t="s">
        <v>958</v>
      </c>
      <c r="F108" t="s">
        <v>895</v>
      </c>
    </row>
    <row r="109" spans="1:6" x14ac:dyDescent="0.55000000000000004">
      <c r="A109">
        <v>29606</v>
      </c>
      <c r="B109" t="s">
        <v>449</v>
      </c>
      <c r="C109" t="s">
        <v>450</v>
      </c>
      <c r="D109" t="s">
        <v>1004</v>
      </c>
      <c r="E109" t="s">
        <v>981</v>
      </c>
      <c r="F109" t="s">
        <v>895</v>
      </c>
    </row>
    <row r="110" spans="1:6" x14ac:dyDescent="0.55000000000000004">
      <c r="A110">
        <v>29611</v>
      </c>
      <c r="B110" t="s">
        <v>351</v>
      </c>
      <c r="C110" t="s">
        <v>352</v>
      </c>
      <c r="D110" t="s">
        <v>1005</v>
      </c>
      <c r="E110" t="s">
        <v>981</v>
      </c>
      <c r="F110" t="s">
        <v>895</v>
      </c>
    </row>
    <row r="111" spans="1:6" x14ac:dyDescent="0.55000000000000004">
      <c r="A111">
        <v>29616</v>
      </c>
      <c r="B111" t="s">
        <v>571</v>
      </c>
      <c r="C111" t="s">
        <v>572</v>
      </c>
      <c r="D111" t="s">
        <v>1006</v>
      </c>
      <c r="E111" t="s">
        <v>966</v>
      </c>
      <c r="F111" t="s">
        <v>895</v>
      </c>
    </row>
    <row r="112" spans="1:6" x14ac:dyDescent="0.55000000000000004">
      <c r="A112">
        <v>29617</v>
      </c>
      <c r="B112" t="s">
        <v>565</v>
      </c>
      <c r="C112" t="s">
        <v>566</v>
      </c>
      <c r="D112" t="s">
        <v>1007</v>
      </c>
      <c r="E112" t="s">
        <v>981</v>
      </c>
      <c r="F112" t="s">
        <v>895</v>
      </c>
    </row>
    <row r="113" spans="1:6" x14ac:dyDescent="0.55000000000000004">
      <c r="A113">
        <v>29622</v>
      </c>
      <c r="B113" t="s">
        <v>353</v>
      </c>
      <c r="C113" t="s">
        <v>354</v>
      </c>
      <c r="D113" t="s">
        <v>1008</v>
      </c>
      <c r="E113" t="s">
        <v>981</v>
      </c>
      <c r="F113" t="s">
        <v>895</v>
      </c>
    </row>
    <row r="114" spans="1:6" x14ac:dyDescent="0.55000000000000004">
      <c r="A114">
        <v>29632</v>
      </c>
      <c r="B114" t="s">
        <v>127</v>
      </c>
      <c r="C114" t="s">
        <v>128</v>
      </c>
      <c r="D114" t="s">
        <v>1009</v>
      </c>
      <c r="E114" t="s">
        <v>981</v>
      </c>
      <c r="F114" t="s">
        <v>895</v>
      </c>
    </row>
    <row r="115" spans="1:6" x14ac:dyDescent="0.55000000000000004">
      <c r="A115">
        <v>29635</v>
      </c>
      <c r="B115" t="s">
        <v>883</v>
      </c>
      <c r="C115" t="s">
        <v>884</v>
      </c>
      <c r="D115" t="s">
        <v>955</v>
      </c>
      <c r="E115" t="s">
        <v>956</v>
      </c>
      <c r="F115" t="s">
        <v>895</v>
      </c>
    </row>
    <row r="116" spans="1:6" x14ac:dyDescent="0.55000000000000004">
      <c r="A116">
        <v>29636</v>
      </c>
      <c r="B116" t="s">
        <v>889</v>
      </c>
      <c r="C116" t="s">
        <v>890</v>
      </c>
      <c r="D116" t="s">
        <v>1010</v>
      </c>
      <c r="E116" t="s">
        <v>1011</v>
      </c>
      <c r="F116" t="s">
        <v>895</v>
      </c>
    </row>
    <row r="117" spans="1:6" x14ac:dyDescent="0.55000000000000004">
      <c r="A117">
        <v>29637</v>
      </c>
      <c r="B117" t="s">
        <v>17</v>
      </c>
      <c r="C117" t="s">
        <v>18</v>
      </c>
      <c r="D117" t="s">
        <v>1012</v>
      </c>
      <c r="E117" t="s">
        <v>966</v>
      </c>
      <c r="F117" t="s">
        <v>895</v>
      </c>
    </row>
    <row r="118" spans="1:6" x14ac:dyDescent="0.55000000000000004">
      <c r="A118">
        <v>29643</v>
      </c>
      <c r="B118" t="s">
        <v>779</v>
      </c>
      <c r="C118" t="s">
        <v>780</v>
      </c>
      <c r="D118" t="s">
        <v>1013</v>
      </c>
      <c r="E118" t="s">
        <v>981</v>
      </c>
      <c r="F118" t="s">
        <v>895</v>
      </c>
    </row>
    <row r="119" spans="1:6" x14ac:dyDescent="0.55000000000000004">
      <c r="A119">
        <v>29645</v>
      </c>
      <c r="B119" t="s">
        <v>213</v>
      </c>
      <c r="C119" t="s">
        <v>214</v>
      </c>
      <c r="D119" t="s">
        <v>1014</v>
      </c>
      <c r="E119" t="s">
        <v>983</v>
      </c>
      <c r="F119" t="s">
        <v>895</v>
      </c>
    </row>
    <row r="120" spans="1:6" x14ac:dyDescent="0.55000000000000004">
      <c r="A120">
        <v>29646</v>
      </c>
      <c r="B120" t="s">
        <v>219</v>
      </c>
      <c r="C120" t="s">
        <v>220</v>
      </c>
      <c r="D120" t="s">
        <v>1015</v>
      </c>
      <c r="E120" t="s">
        <v>966</v>
      </c>
      <c r="F120" t="s">
        <v>895</v>
      </c>
    </row>
    <row r="121" spans="1:6" x14ac:dyDescent="0.55000000000000004">
      <c r="A121">
        <v>29651</v>
      </c>
      <c r="B121" t="s">
        <v>547</v>
      </c>
      <c r="C121" t="s">
        <v>548</v>
      </c>
      <c r="D121" t="s">
        <v>1016</v>
      </c>
      <c r="E121" t="s">
        <v>1017</v>
      </c>
      <c r="F121" t="s">
        <v>895</v>
      </c>
    </row>
    <row r="122" spans="1:6" x14ac:dyDescent="0.55000000000000004">
      <c r="A122">
        <v>29653</v>
      </c>
      <c r="B122" t="s">
        <v>247</v>
      </c>
      <c r="C122" t="s">
        <v>248</v>
      </c>
      <c r="D122" t="s">
        <v>1018</v>
      </c>
      <c r="E122" t="s">
        <v>1019</v>
      </c>
      <c r="F122" t="s">
        <v>895</v>
      </c>
    </row>
    <row r="123" spans="1:6" x14ac:dyDescent="0.55000000000000004">
      <c r="A123">
        <v>29654</v>
      </c>
      <c r="B123" t="s">
        <v>241</v>
      </c>
      <c r="C123" t="s">
        <v>242</v>
      </c>
      <c r="D123" t="s">
        <v>1000</v>
      </c>
      <c r="E123" t="s">
        <v>995</v>
      </c>
      <c r="F123" t="s">
        <v>895</v>
      </c>
    </row>
    <row r="124" spans="1:6" x14ac:dyDescent="0.55000000000000004">
      <c r="A124">
        <v>29655</v>
      </c>
      <c r="B124" t="s">
        <v>235</v>
      </c>
      <c r="C124" t="s">
        <v>236</v>
      </c>
      <c r="D124" t="s">
        <v>1020</v>
      </c>
      <c r="E124" t="s">
        <v>970</v>
      </c>
      <c r="F124" t="s">
        <v>895</v>
      </c>
    </row>
    <row r="125" spans="1:6" x14ac:dyDescent="0.55000000000000004">
      <c r="A125">
        <v>29659</v>
      </c>
      <c r="B125" t="s">
        <v>545</v>
      </c>
      <c r="C125" t="s">
        <v>546</v>
      </c>
      <c r="D125" t="s">
        <v>1021</v>
      </c>
      <c r="E125" t="s">
        <v>966</v>
      </c>
      <c r="F125" t="s">
        <v>895</v>
      </c>
    </row>
    <row r="126" spans="1:6" x14ac:dyDescent="0.55000000000000004">
      <c r="A126">
        <v>29663</v>
      </c>
      <c r="B126" t="s">
        <v>195</v>
      </c>
      <c r="C126" t="s">
        <v>196</v>
      </c>
      <c r="D126" t="s">
        <v>1000</v>
      </c>
      <c r="E126" t="s">
        <v>995</v>
      </c>
      <c r="F126" t="s">
        <v>895</v>
      </c>
    </row>
    <row r="127" spans="1:6" x14ac:dyDescent="0.55000000000000004">
      <c r="A127">
        <v>29668</v>
      </c>
      <c r="B127" t="s">
        <v>173</v>
      </c>
      <c r="C127" t="s">
        <v>174</v>
      </c>
      <c r="D127" t="s">
        <v>1022</v>
      </c>
      <c r="E127" t="s">
        <v>995</v>
      </c>
      <c r="F127" t="s">
        <v>895</v>
      </c>
    </row>
    <row r="128" spans="1:6" x14ac:dyDescent="0.55000000000000004">
      <c r="A128">
        <v>29674</v>
      </c>
      <c r="B128" t="s">
        <v>151</v>
      </c>
      <c r="C128" t="s">
        <v>152</v>
      </c>
      <c r="D128" t="s">
        <v>1023</v>
      </c>
      <c r="E128" t="s">
        <v>995</v>
      </c>
      <c r="F128" t="s">
        <v>895</v>
      </c>
    </row>
    <row r="129" spans="1:6" x14ac:dyDescent="0.55000000000000004">
      <c r="A129">
        <v>29683</v>
      </c>
      <c r="B129" t="s">
        <v>497</v>
      </c>
      <c r="C129" t="s">
        <v>498</v>
      </c>
      <c r="D129" t="s">
        <v>1024</v>
      </c>
      <c r="E129" t="s">
        <v>960</v>
      </c>
      <c r="F129" t="s">
        <v>895</v>
      </c>
    </row>
    <row r="130" spans="1:6" x14ac:dyDescent="0.55000000000000004">
      <c r="A130">
        <v>29684</v>
      </c>
      <c r="B130" t="s">
        <v>493</v>
      </c>
      <c r="C130" t="s">
        <v>494</v>
      </c>
      <c r="D130" t="s">
        <v>969</v>
      </c>
      <c r="E130" t="s">
        <v>970</v>
      </c>
      <c r="F130" t="s">
        <v>895</v>
      </c>
    </row>
    <row r="131" spans="1:6" x14ac:dyDescent="0.55000000000000004">
      <c r="A131">
        <v>29688</v>
      </c>
      <c r="B131" t="s">
        <v>373</v>
      </c>
      <c r="C131" t="s">
        <v>374</v>
      </c>
      <c r="D131" t="s">
        <v>1025</v>
      </c>
      <c r="E131" t="s">
        <v>970</v>
      </c>
      <c r="F131" t="s">
        <v>895</v>
      </c>
    </row>
    <row r="132" spans="1:6" x14ac:dyDescent="0.55000000000000004">
      <c r="A132">
        <v>29689</v>
      </c>
      <c r="B132" t="s">
        <v>379</v>
      </c>
      <c r="C132" t="s">
        <v>380</v>
      </c>
      <c r="D132" t="s">
        <v>1026</v>
      </c>
      <c r="E132" t="s">
        <v>981</v>
      </c>
      <c r="F132" t="s">
        <v>895</v>
      </c>
    </row>
    <row r="133" spans="1:6" x14ac:dyDescent="0.55000000000000004">
      <c r="A133">
        <v>29690</v>
      </c>
      <c r="B133" t="s">
        <v>385</v>
      </c>
      <c r="C133" t="s">
        <v>386</v>
      </c>
      <c r="D133" t="s">
        <v>1027</v>
      </c>
      <c r="E133" t="s">
        <v>1011</v>
      </c>
      <c r="F133" t="s">
        <v>895</v>
      </c>
    </row>
    <row r="134" spans="1:6" x14ac:dyDescent="0.55000000000000004">
      <c r="A134">
        <v>29695</v>
      </c>
      <c r="B134" t="s">
        <v>403</v>
      </c>
      <c r="C134" t="s">
        <v>404</v>
      </c>
      <c r="D134" t="s">
        <v>1004</v>
      </c>
      <c r="E134" t="s">
        <v>981</v>
      </c>
      <c r="F134" t="s">
        <v>895</v>
      </c>
    </row>
    <row r="135" spans="1:6" x14ac:dyDescent="0.55000000000000004">
      <c r="A135">
        <v>29702</v>
      </c>
      <c r="B135" t="s">
        <v>107</v>
      </c>
      <c r="C135" t="s">
        <v>108</v>
      </c>
      <c r="D135" t="s">
        <v>1015</v>
      </c>
      <c r="E135" t="s">
        <v>966</v>
      </c>
      <c r="F135" t="s">
        <v>895</v>
      </c>
    </row>
    <row r="136" spans="1:6" x14ac:dyDescent="0.55000000000000004">
      <c r="A136">
        <v>29708</v>
      </c>
      <c r="B136" t="s">
        <v>129</v>
      </c>
      <c r="C136" t="s">
        <v>130</v>
      </c>
      <c r="D136" t="s">
        <v>1028</v>
      </c>
      <c r="E136" t="s">
        <v>966</v>
      </c>
      <c r="F136" t="s">
        <v>895</v>
      </c>
    </row>
    <row r="137" spans="1:6" x14ac:dyDescent="0.55000000000000004">
      <c r="A137">
        <v>29709</v>
      </c>
      <c r="B137" t="s">
        <v>877</v>
      </c>
      <c r="C137" t="s">
        <v>878</v>
      </c>
      <c r="D137" t="s">
        <v>1029</v>
      </c>
      <c r="E137" t="s">
        <v>983</v>
      </c>
      <c r="F137" t="s">
        <v>895</v>
      </c>
    </row>
    <row r="138" spans="1:6" x14ac:dyDescent="0.55000000000000004">
      <c r="A138">
        <v>29710</v>
      </c>
      <c r="B138" t="s">
        <v>225</v>
      </c>
      <c r="C138" t="s">
        <v>226</v>
      </c>
      <c r="D138" t="s">
        <v>1030</v>
      </c>
      <c r="E138" t="s">
        <v>963</v>
      </c>
      <c r="F138" t="s">
        <v>895</v>
      </c>
    </row>
    <row r="139" spans="1:6" x14ac:dyDescent="0.55000000000000004">
      <c r="A139">
        <v>29717</v>
      </c>
      <c r="B139" t="s">
        <v>215</v>
      </c>
      <c r="C139" t="s">
        <v>216</v>
      </c>
      <c r="D139" t="s">
        <v>1031</v>
      </c>
      <c r="E139" t="s">
        <v>983</v>
      </c>
      <c r="F139" t="s">
        <v>895</v>
      </c>
    </row>
    <row r="140" spans="1:6" x14ac:dyDescent="0.55000000000000004">
      <c r="A140">
        <v>29719</v>
      </c>
      <c r="B140" t="s">
        <v>853</v>
      </c>
      <c r="C140" t="s">
        <v>854</v>
      </c>
      <c r="D140" t="s">
        <v>1032</v>
      </c>
      <c r="E140" t="s">
        <v>981</v>
      </c>
      <c r="F140" t="s">
        <v>895</v>
      </c>
    </row>
    <row r="141" spans="1:6" x14ac:dyDescent="0.55000000000000004">
      <c r="A141">
        <v>29720</v>
      </c>
      <c r="B141" t="s">
        <v>859</v>
      </c>
      <c r="C141" t="s">
        <v>860</v>
      </c>
      <c r="D141" t="s">
        <v>1033</v>
      </c>
      <c r="E141" t="s">
        <v>1011</v>
      </c>
      <c r="F141" t="s">
        <v>895</v>
      </c>
    </row>
    <row r="142" spans="1:6" x14ac:dyDescent="0.55000000000000004">
      <c r="A142">
        <v>29727</v>
      </c>
      <c r="B142" t="s">
        <v>879</v>
      </c>
      <c r="C142" t="s">
        <v>880</v>
      </c>
      <c r="D142" t="s">
        <v>1034</v>
      </c>
      <c r="E142" t="s">
        <v>983</v>
      </c>
      <c r="F142" t="s">
        <v>895</v>
      </c>
    </row>
    <row r="143" spans="1:6" x14ac:dyDescent="0.55000000000000004">
      <c r="A143">
        <v>29728</v>
      </c>
      <c r="B143" t="s">
        <v>885</v>
      </c>
      <c r="C143" t="s">
        <v>886</v>
      </c>
      <c r="D143" t="s">
        <v>1035</v>
      </c>
      <c r="E143" t="s">
        <v>1011</v>
      </c>
      <c r="F143" t="s">
        <v>895</v>
      </c>
    </row>
    <row r="144" spans="1:6" x14ac:dyDescent="0.55000000000000004">
      <c r="A144">
        <v>29732</v>
      </c>
      <c r="B144" t="s">
        <v>569</v>
      </c>
      <c r="C144" t="s">
        <v>570</v>
      </c>
      <c r="D144" t="s">
        <v>1036</v>
      </c>
      <c r="E144" t="s">
        <v>966</v>
      </c>
      <c r="F144" t="s">
        <v>895</v>
      </c>
    </row>
    <row r="145" spans="1:6" x14ac:dyDescent="0.55000000000000004">
      <c r="A145">
        <v>29733</v>
      </c>
      <c r="B145" t="s">
        <v>577</v>
      </c>
      <c r="C145" t="s">
        <v>578</v>
      </c>
      <c r="D145" t="s">
        <v>957</v>
      </c>
      <c r="E145" t="s">
        <v>958</v>
      </c>
      <c r="F145" t="s">
        <v>895</v>
      </c>
    </row>
    <row r="146" spans="1:6" x14ac:dyDescent="0.55000000000000004">
      <c r="A146">
        <v>29737</v>
      </c>
      <c r="B146" t="s">
        <v>587</v>
      </c>
      <c r="C146" t="s">
        <v>588</v>
      </c>
      <c r="D146" t="s">
        <v>1037</v>
      </c>
      <c r="E146" t="s">
        <v>983</v>
      </c>
      <c r="F146" t="s">
        <v>895</v>
      </c>
    </row>
    <row r="147" spans="1:6" x14ac:dyDescent="0.55000000000000004">
      <c r="A147">
        <v>29738</v>
      </c>
      <c r="B147" t="s">
        <v>593</v>
      </c>
      <c r="C147" t="s">
        <v>594</v>
      </c>
      <c r="D147" t="s">
        <v>1038</v>
      </c>
      <c r="E147" t="s">
        <v>989</v>
      </c>
      <c r="F147" t="s">
        <v>895</v>
      </c>
    </row>
    <row r="148" spans="1:6" x14ac:dyDescent="0.55000000000000004">
      <c r="A148">
        <v>29739</v>
      </c>
      <c r="B148" t="s">
        <v>599</v>
      </c>
      <c r="C148" t="s">
        <v>600</v>
      </c>
      <c r="D148" t="s">
        <v>1039</v>
      </c>
      <c r="E148" t="s">
        <v>958</v>
      </c>
      <c r="F148" t="s">
        <v>895</v>
      </c>
    </row>
    <row r="149" spans="1:6" x14ac:dyDescent="0.55000000000000004">
      <c r="A149">
        <v>29742</v>
      </c>
      <c r="B149" t="s">
        <v>611</v>
      </c>
      <c r="C149" t="s">
        <v>612</v>
      </c>
      <c r="D149" t="s">
        <v>1040</v>
      </c>
      <c r="E149" t="s">
        <v>981</v>
      </c>
      <c r="F149" t="s">
        <v>895</v>
      </c>
    </row>
    <row r="150" spans="1:6" x14ac:dyDescent="0.55000000000000004">
      <c r="A150">
        <v>29743</v>
      </c>
      <c r="B150" t="s">
        <v>617</v>
      </c>
      <c r="C150" t="s">
        <v>618</v>
      </c>
      <c r="D150" t="s">
        <v>1041</v>
      </c>
      <c r="E150" t="s">
        <v>995</v>
      </c>
      <c r="F150" t="s">
        <v>895</v>
      </c>
    </row>
    <row r="151" spans="1:6" x14ac:dyDescent="0.55000000000000004">
      <c r="A151">
        <v>29744</v>
      </c>
      <c r="B151" t="s">
        <v>623</v>
      </c>
      <c r="C151" t="s">
        <v>624</v>
      </c>
      <c r="D151" t="s">
        <v>1003</v>
      </c>
      <c r="E151" t="s">
        <v>958</v>
      </c>
      <c r="F151" t="s">
        <v>895</v>
      </c>
    </row>
    <row r="152" spans="1:6" x14ac:dyDescent="0.55000000000000004">
      <c r="A152">
        <v>29747</v>
      </c>
      <c r="B152" t="s">
        <v>743</v>
      </c>
      <c r="C152" t="s">
        <v>744</v>
      </c>
      <c r="D152" t="s">
        <v>1042</v>
      </c>
      <c r="E152" t="s">
        <v>981</v>
      </c>
      <c r="F152" t="s">
        <v>895</v>
      </c>
    </row>
    <row r="153" spans="1:6" x14ac:dyDescent="0.55000000000000004">
      <c r="A153">
        <v>29748</v>
      </c>
      <c r="B153" t="s">
        <v>749</v>
      </c>
      <c r="C153" t="s">
        <v>750</v>
      </c>
      <c r="D153" t="s">
        <v>1043</v>
      </c>
      <c r="E153" t="s">
        <v>1019</v>
      </c>
      <c r="F153" t="s">
        <v>895</v>
      </c>
    </row>
    <row r="154" spans="1:6" x14ac:dyDescent="0.55000000000000004">
      <c r="A154">
        <v>29753</v>
      </c>
      <c r="B154" t="s">
        <v>765</v>
      </c>
      <c r="C154" t="s">
        <v>766</v>
      </c>
      <c r="D154" t="s">
        <v>1004</v>
      </c>
      <c r="E154" t="s">
        <v>981</v>
      </c>
      <c r="F154" t="s">
        <v>895</v>
      </c>
    </row>
    <row r="155" spans="1:6" x14ac:dyDescent="0.55000000000000004">
      <c r="A155">
        <v>29758</v>
      </c>
      <c r="B155" t="s">
        <v>637</v>
      </c>
      <c r="C155" t="s">
        <v>638</v>
      </c>
      <c r="D155" t="s">
        <v>1044</v>
      </c>
      <c r="E155" t="s">
        <v>966</v>
      </c>
      <c r="F155" t="s">
        <v>895</v>
      </c>
    </row>
    <row r="156" spans="1:6" x14ac:dyDescent="0.55000000000000004">
      <c r="A156">
        <v>29764</v>
      </c>
      <c r="B156" t="s">
        <v>615</v>
      </c>
      <c r="C156" t="s">
        <v>616</v>
      </c>
      <c r="D156" t="s">
        <v>1021</v>
      </c>
      <c r="E156" t="s">
        <v>966</v>
      </c>
      <c r="F156" t="s">
        <v>895</v>
      </c>
    </row>
    <row r="157" spans="1:6" x14ac:dyDescent="0.55000000000000004">
      <c r="A157">
        <v>29765</v>
      </c>
      <c r="B157" t="s">
        <v>609</v>
      </c>
      <c r="C157" t="s">
        <v>610</v>
      </c>
      <c r="D157" t="s">
        <v>1045</v>
      </c>
      <c r="E157" t="s">
        <v>970</v>
      </c>
      <c r="F157" t="s">
        <v>895</v>
      </c>
    </row>
    <row r="158" spans="1:6" x14ac:dyDescent="0.55000000000000004">
      <c r="A158">
        <v>29769</v>
      </c>
      <c r="B158" t="s">
        <v>591</v>
      </c>
      <c r="C158" t="s">
        <v>592</v>
      </c>
      <c r="D158" t="s">
        <v>1046</v>
      </c>
      <c r="E158" t="s">
        <v>1017</v>
      </c>
      <c r="F158" t="s">
        <v>895</v>
      </c>
    </row>
    <row r="159" spans="1:6" x14ac:dyDescent="0.55000000000000004">
      <c r="A159">
        <v>29771</v>
      </c>
      <c r="B159" t="s">
        <v>25</v>
      </c>
      <c r="C159" t="s">
        <v>26</v>
      </c>
      <c r="D159" t="s">
        <v>1047</v>
      </c>
      <c r="E159" t="s">
        <v>1011</v>
      </c>
      <c r="F159" t="s">
        <v>895</v>
      </c>
    </row>
    <row r="160" spans="1:6" x14ac:dyDescent="0.55000000000000004">
      <c r="A160">
        <v>29772</v>
      </c>
      <c r="B160" t="s">
        <v>19</v>
      </c>
      <c r="C160" t="s">
        <v>20</v>
      </c>
      <c r="D160" t="s">
        <v>1048</v>
      </c>
      <c r="E160" t="s">
        <v>966</v>
      </c>
      <c r="F160" t="s">
        <v>895</v>
      </c>
    </row>
    <row r="161" spans="1:6" x14ac:dyDescent="0.55000000000000004">
      <c r="A161">
        <v>29773</v>
      </c>
      <c r="B161" t="s">
        <v>13</v>
      </c>
      <c r="C161" t="s">
        <v>14</v>
      </c>
      <c r="D161" t="s">
        <v>992</v>
      </c>
      <c r="E161" t="s">
        <v>981</v>
      </c>
      <c r="F161" t="s">
        <v>895</v>
      </c>
    </row>
    <row r="162" spans="1:6" x14ac:dyDescent="0.55000000000000004">
      <c r="A162">
        <v>29774</v>
      </c>
      <c r="B162" t="s">
        <v>65</v>
      </c>
      <c r="C162" t="s">
        <v>66</v>
      </c>
      <c r="D162" t="s">
        <v>1049</v>
      </c>
      <c r="E162" t="s">
        <v>966</v>
      </c>
      <c r="F162" t="s">
        <v>895</v>
      </c>
    </row>
    <row r="163" spans="1:6" x14ac:dyDescent="0.55000000000000004">
      <c r="A163">
        <v>29775</v>
      </c>
      <c r="B163" t="s">
        <v>59</v>
      </c>
      <c r="C163" t="s">
        <v>60</v>
      </c>
      <c r="D163" t="s">
        <v>1042</v>
      </c>
      <c r="E163" t="s">
        <v>981</v>
      </c>
      <c r="F163" t="s">
        <v>895</v>
      </c>
    </row>
    <row r="164" spans="1:6" x14ac:dyDescent="0.55000000000000004">
      <c r="A164">
        <v>29782</v>
      </c>
      <c r="B164" t="s">
        <v>357</v>
      </c>
      <c r="C164" t="s">
        <v>358</v>
      </c>
      <c r="D164" t="s">
        <v>1050</v>
      </c>
      <c r="E164" t="s">
        <v>952</v>
      </c>
      <c r="F164" t="s">
        <v>895</v>
      </c>
    </row>
    <row r="165" spans="1:6" x14ac:dyDescent="0.55000000000000004">
      <c r="A165">
        <v>29783</v>
      </c>
      <c r="B165" t="s">
        <v>679</v>
      </c>
      <c r="C165" t="s">
        <v>680</v>
      </c>
      <c r="D165" t="s">
        <v>1051</v>
      </c>
      <c r="E165" t="s">
        <v>968</v>
      </c>
      <c r="F165" t="s">
        <v>895</v>
      </c>
    </row>
    <row r="166" spans="1:6" x14ac:dyDescent="0.55000000000000004">
      <c r="A166">
        <v>29787</v>
      </c>
      <c r="B166" t="s">
        <v>427</v>
      </c>
      <c r="C166" t="s">
        <v>428</v>
      </c>
      <c r="D166" t="s">
        <v>1052</v>
      </c>
      <c r="E166" t="s">
        <v>981</v>
      </c>
      <c r="F166" t="s">
        <v>895</v>
      </c>
    </row>
    <row r="167" spans="1:6" x14ac:dyDescent="0.55000000000000004">
      <c r="A167">
        <v>29792</v>
      </c>
      <c r="B167" t="s">
        <v>451</v>
      </c>
      <c r="C167" t="s">
        <v>452</v>
      </c>
      <c r="D167" t="s">
        <v>1053</v>
      </c>
      <c r="E167" t="s">
        <v>966</v>
      </c>
      <c r="F167" t="s">
        <v>895</v>
      </c>
    </row>
    <row r="168" spans="1:6" x14ac:dyDescent="0.55000000000000004">
      <c r="A168">
        <v>29800</v>
      </c>
      <c r="B168" t="s">
        <v>83</v>
      </c>
      <c r="C168" t="s">
        <v>84</v>
      </c>
      <c r="D168" t="s">
        <v>996</v>
      </c>
      <c r="E168" t="s">
        <v>983</v>
      </c>
      <c r="F168" t="s">
        <v>895</v>
      </c>
    </row>
    <row r="169" spans="1:6" x14ac:dyDescent="0.55000000000000004">
      <c r="A169">
        <v>29806</v>
      </c>
      <c r="B169" t="s">
        <v>61</v>
      </c>
      <c r="C169" t="s">
        <v>62</v>
      </c>
      <c r="D169" t="s">
        <v>1054</v>
      </c>
      <c r="E169" t="s">
        <v>976</v>
      </c>
      <c r="F169" t="s">
        <v>895</v>
      </c>
    </row>
    <row r="170" spans="1:6" x14ac:dyDescent="0.55000000000000004">
      <c r="A170">
        <v>29810</v>
      </c>
      <c r="B170" t="s">
        <v>39</v>
      </c>
      <c r="C170" t="s">
        <v>40</v>
      </c>
      <c r="D170" t="s">
        <v>1052</v>
      </c>
      <c r="E170" t="s">
        <v>981</v>
      </c>
      <c r="F170" t="s">
        <v>895</v>
      </c>
    </row>
    <row r="171" spans="1:6" x14ac:dyDescent="0.55000000000000004">
      <c r="A171">
        <v>29816</v>
      </c>
      <c r="B171" t="s">
        <v>15</v>
      </c>
      <c r="C171" t="s">
        <v>16</v>
      </c>
      <c r="D171" t="s">
        <v>990</v>
      </c>
      <c r="E171" t="s">
        <v>981</v>
      </c>
      <c r="F171" t="s">
        <v>895</v>
      </c>
    </row>
    <row r="172" spans="1:6" x14ac:dyDescent="0.55000000000000004">
      <c r="A172">
        <v>29818</v>
      </c>
      <c r="B172" t="s">
        <v>887</v>
      </c>
      <c r="C172" t="s">
        <v>888</v>
      </c>
      <c r="D172" t="s">
        <v>1055</v>
      </c>
      <c r="E172" t="s">
        <v>1011</v>
      </c>
      <c r="F172" t="s">
        <v>895</v>
      </c>
    </row>
    <row r="173" spans="1:6" x14ac:dyDescent="0.55000000000000004">
      <c r="A173">
        <v>29819</v>
      </c>
      <c r="B173" t="s">
        <v>881</v>
      </c>
      <c r="C173" t="s">
        <v>882</v>
      </c>
      <c r="D173" t="s">
        <v>1037</v>
      </c>
      <c r="E173" t="s">
        <v>952</v>
      </c>
      <c r="F173" t="s">
        <v>895</v>
      </c>
    </row>
    <row r="174" spans="1:6" x14ac:dyDescent="0.55000000000000004">
      <c r="A174">
        <v>29826</v>
      </c>
      <c r="B174" t="s">
        <v>861</v>
      </c>
      <c r="C174" t="s">
        <v>862</v>
      </c>
      <c r="D174" t="s">
        <v>1056</v>
      </c>
      <c r="E174" t="s">
        <v>1011</v>
      </c>
      <c r="F174" t="s">
        <v>895</v>
      </c>
    </row>
    <row r="175" spans="1:6" x14ac:dyDescent="0.55000000000000004">
      <c r="A175">
        <v>29827</v>
      </c>
      <c r="B175" t="s">
        <v>855</v>
      </c>
      <c r="C175" t="s">
        <v>856</v>
      </c>
      <c r="D175" t="s">
        <v>1057</v>
      </c>
      <c r="E175" t="s">
        <v>956</v>
      </c>
      <c r="F175" t="s">
        <v>895</v>
      </c>
    </row>
    <row r="176" spans="1:6" x14ac:dyDescent="0.55000000000000004">
      <c r="A176">
        <v>29835</v>
      </c>
      <c r="B176" t="s">
        <v>825</v>
      </c>
      <c r="C176" t="s">
        <v>826</v>
      </c>
      <c r="D176" t="s">
        <v>1058</v>
      </c>
      <c r="E176" t="s">
        <v>983</v>
      </c>
      <c r="F176" t="s">
        <v>895</v>
      </c>
    </row>
    <row r="177" spans="1:6" x14ac:dyDescent="0.55000000000000004">
      <c r="A177">
        <v>29842</v>
      </c>
      <c r="B177" t="s">
        <v>803</v>
      </c>
      <c r="C177" t="s">
        <v>804</v>
      </c>
      <c r="D177" t="s">
        <v>1059</v>
      </c>
      <c r="E177" t="s">
        <v>958</v>
      </c>
      <c r="F177" t="s">
        <v>895</v>
      </c>
    </row>
    <row r="178" spans="1:6" x14ac:dyDescent="0.55000000000000004">
      <c r="A178">
        <v>29843</v>
      </c>
      <c r="B178" t="s">
        <v>797</v>
      </c>
      <c r="C178" t="s">
        <v>798</v>
      </c>
      <c r="D178" t="s">
        <v>1026</v>
      </c>
      <c r="E178" t="s">
        <v>981</v>
      </c>
      <c r="F178" t="s">
        <v>895</v>
      </c>
    </row>
    <row r="179" spans="1:6" x14ac:dyDescent="0.55000000000000004">
      <c r="A179">
        <v>29848</v>
      </c>
      <c r="B179" t="s">
        <v>781</v>
      </c>
      <c r="C179" t="s">
        <v>782</v>
      </c>
      <c r="D179" t="s">
        <v>1060</v>
      </c>
      <c r="E179" t="s">
        <v>1017</v>
      </c>
      <c r="F179" t="s">
        <v>895</v>
      </c>
    </row>
    <row r="180" spans="1:6" x14ac:dyDescent="0.55000000000000004">
      <c r="A180">
        <v>29850</v>
      </c>
      <c r="B180" t="s">
        <v>767</v>
      </c>
      <c r="C180" t="s">
        <v>768</v>
      </c>
      <c r="D180" t="s">
        <v>972</v>
      </c>
      <c r="E180" t="s">
        <v>966</v>
      </c>
      <c r="F180" t="s">
        <v>895</v>
      </c>
    </row>
    <row r="181" spans="1:6" x14ac:dyDescent="0.55000000000000004">
      <c r="A181">
        <v>29854</v>
      </c>
      <c r="B181" t="s">
        <v>525</v>
      </c>
      <c r="C181" t="s">
        <v>526</v>
      </c>
      <c r="D181" t="s">
        <v>1061</v>
      </c>
      <c r="E181" t="s">
        <v>995</v>
      </c>
      <c r="F181" t="s">
        <v>895</v>
      </c>
    </row>
    <row r="182" spans="1:6" x14ac:dyDescent="0.55000000000000004">
      <c r="A182">
        <v>29858</v>
      </c>
      <c r="B182" t="s">
        <v>741</v>
      </c>
      <c r="C182" t="s">
        <v>742</v>
      </c>
      <c r="D182" t="s">
        <v>1008</v>
      </c>
      <c r="E182" t="s">
        <v>981</v>
      </c>
      <c r="F182" t="s">
        <v>895</v>
      </c>
    </row>
    <row r="183" spans="1:6" x14ac:dyDescent="0.55000000000000004">
      <c r="A183">
        <v>29859</v>
      </c>
      <c r="B183" t="s">
        <v>747</v>
      </c>
      <c r="C183" t="s">
        <v>748</v>
      </c>
      <c r="D183" t="s">
        <v>1021</v>
      </c>
      <c r="E183" t="s">
        <v>966</v>
      </c>
      <c r="F183" t="s">
        <v>895</v>
      </c>
    </row>
    <row r="184" spans="1:6" x14ac:dyDescent="0.55000000000000004">
      <c r="A184">
        <v>29861</v>
      </c>
      <c r="B184" t="s">
        <v>801</v>
      </c>
      <c r="C184" t="s">
        <v>802</v>
      </c>
      <c r="D184" t="s">
        <v>1062</v>
      </c>
      <c r="E184" t="s">
        <v>952</v>
      </c>
      <c r="F184" t="s">
        <v>895</v>
      </c>
    </row>
    <row r="185" spans="1:6" x14ac:dyDescent="0.55000000000000004">
      <c r="A185">
        <v>29862</v>
      </c>
      <c r="B185" t="s">
        <v>807</v>
      </c>
      <c r="C185" t="s">
        <v>808</v>
      </c>
      <c r="D185" t="s">
        <v>971</v>
      </c>
      <c r="E185" t="s">
        <v>963</v>
      </c>
      <c r="F185" t="s">
        <v>895</v>
      </c>
    </row>
    <row r="186" spans="1:6" x14ac:dyDescent="0.55000000000000004">
      <c r="A186">
        <v>29866</v>
      </c>
      <c r="B186" t="s">
        <v>335</v>
      </c>
      <c r="C186" t="s">
        <v>336</v>
      </c>
      <c r="D186" t="s">
        <v>984</v>
      </c>
      <c r="E186" t="s">
        <v>966</v>
      </c>
      <c r="F186" t="s">
        <v>895</v>
      </c>
    </row>
    <row r="187" spans="1:6" x14ac:dyDescent="0.55000000000000004">
      <c r="A187">
        <v>29867</v>
      </c>
      <c r="B187" t="s">
        <v>329</v>
      </c>
      <c r="C187" t="s">
        <v>330</v>
      </c>
      <c r="D187" t="s">
        <v>1042</v>
      </c>
      <c r="E187" t="s">
        <v>981</v>
      </c>
      <c r="F187" t="s">
        <v>895</v>
      </c>
    </row>
    <row r="188" spans="1:6" x14ac:dyDescent="0.55000000000000004">
      <c r="A188">
        <v>29872</v>
      </c>
      <c r="B188" t="s">
        <v>313</v>
      </c>
      <c r="C188" t="s">
        <v>314</v>
      </c>
      <c r="D188" t="s">
        <v>1063</v>
      </c>
      <c r="E188" t="s">
        <v>956</v>
      </c>
      <c r="F188" t="s">
        <v>895</v>
      </c>
    </row>
    <row r="189" spans="1:6" x14ac:dyDescent="0.55000000000000004">
      <c r="A189">
        <v>29873</v>
      </c>
      <c r="B189" t="s">
        <v>307</v>
      </c>
      <c r="C189" t="s">
        <v>308</v>
      </c>
      <c r="D189" t="s">
        <v>1064</v>
      </c>
      <c r="E189" t="s">
        <v>981</v>
      </c>
      <c r="F189" t="s">
        <v>895</v>
      </c>
    </row>
    <row r="190" spans="1:6" x14ac:dyDescent="0.55000000000000004">
      <c r="A190">
        <v>29877</v>
      </c>
      <c r="B190" t="s">
        <v>297</v>
      </c>
      <c r="C190" t="s">
        <v>298</v>
      </c>
      <c r="D190" t="s">
        <v>1065</v>
      </c>
      <c r="E190" t="s">
        <v>968</v>
      </c>
      <c r="F190" t="s">
        <v>895</v>
      </c>
    </row>
    <row r="191" spans="1:6" x14ac:dyDescent="0.55000000000000004">
      <c r="A191">
        <v>29883</v>
      </c>
      <c r="B191" t="s">
        <v>295</v>
      </c>
      <c r="C191" t="s">
        <v>296</v>
      </c>
      <c r="D191" t="s">
        <v>1066</v>
      </c>
      <c r="E191" t="s">
        <v>968</v>
      </c>
      <c r="F191" t="s">
        <v>895</v>
      </c>
    </row>
    <row r="192" spans="1:6" x14ac:dyDescent="0.55000000000000004">
      <c r="A192">
        <v>29884</v>
      </c>
      <c r="B192" t="s">
        <v>289</v>
      </c>
      <c r="C192" t="s">
        <v>290</v>
      </c>
      <c r="D192" t="s">
        <v>1000</v>
      </c>
      <c r="E192" t="s">
        <v>995</v>
      </c>
      <c r="F192" t="s">
        <v>895</v>
      </c>
    </row>
    <row r="193" spans="1:6" x14ac:dyDescent="0.55000000000000004">
      <c r="A193">
        <v>29885</v>
      </c>
      <c r="B193" t="s">
        <v>287</v>
      </c>
      <c r="C193" t="s">
        <v>288</v>
      </c>
      <c r="D193" t="s">
        <v>1067</v>
      </c>
      <c r="E193" t="s">
        <v>981</v>
      </c>
      <c r="F193" t="s">
        <v>895</v>
      </c>
    </row>
    <row r="194" spans="1:6" x14ac:dyDescent="0.55000000000000004">
      <c r="A194">
        <v>29890</v>
      </c>
      <c r="B194" t="s">
        <v>265</v>
      </c>
      <c r="C194" t="s">
        <v>266</v>
      </c>
      <c r="D194" t="s">
        <v>1068</v>
      </c>
      <c r="E194" t="s">
        <v>981</v>
      </c>
      <c r="F194" t="s">
        <v>895</v>
      </c>
    </row>
    <row r="195" spans="1:6" x14ac:dyDescent="0.55000000000000004">
      <c r="A195">
        <v>29891</v>
      </c>
      <c r="B195" t="s">
        <v>259</v>
      </c>
      <c r="C195" t="s">
        <v>260</v>
      </c>
      <c r="D195" t="s">
        <v>1069</v>
      </c>
      <c r="E195" t="s">
        <v>970</v>
      </c>
      <c r="F195" t="s">
        <v>895</v>
      </c>
    </row>
    <row r="196" spans="1:6" x14ac:dyDescent="0.55000000000000004">
      <c r="A196">
        <v>29897</v>
      </c>
      <c r="B196" t="s">
        <v>619</v>
      </c>
      <c r="C196" t="s">
        <v>620</v>
      </c>
      <c r="D196" t="s">
        <v>1003</v>
      </c>
      <c r="E196" t="s">
        <v>958</v>
      </c>
      <c r="F196" t="s">
        <v>895</v>
      </c>
    </row>
    <row r="197" spans="1:6" x14ac:dyDescent="0.55000000000000004">
      <c r="A197">
        <v>29898</v>
      </c>
      <c r="B197" t="s">
        <v>519</v>
      </c>
      <c r="C197" t="s">
        <v>520</v>
      </c>
      <c r="D197" t="s">
        <v>992</v>
      </c>
      <c r="E197" t="s">
        <v>981</v>
      </c>
      <c r="F197" t="s">
        <v>895</v>
      </c>
    </row>
    <row r="198" spans="1:6" x14ac:dyDescent="0.55000000000000004">
      <c r="A198">
        <v>29902</v>
      </c>
      <c r="B198" t="s">
        <v>501</v>
      </c>
      <c r="C198" t="s">
        <v>502</v>
      </c>
      <c r="D198" t="s">
        <v>1021</v>
      </c>
      <c r="E198" t="s">
        <v>966</v>
      </c>
      <c r="F198" t="s">
        <v>895</v>
      </c>
    </row>
    <row r="199" spans="1:6" x14ac:dyDescent="0.55000000000000004">
      <c r="A199">
        <v>29903</v>
      </c>
      <c r="B199" t="s">
        <v>495</v>
      </c>
      <c r="C199" t="s">
        <v>496</v>
      </c>
      <c r="D199" t="s">
        <v>996</v>
      </c>
      <c r="E199" t="s">
        <v>983</v>
      </c>
      <c r="F199" t="s">
        <v>895</v>
      </c>
    </row>
    <row r="200" spans="1:6" x14ac:dyDescent="0.55000000000000004">
      <c r="A200">
        <v>29906</v>
      </c>
      <c r="B200" t="s">
        <v>477</v>
      </c>
      <c r="C200" t="s">
        <v>478</v>
      </c>
      <c r="D200" t="s">
        <v>1070</v>
      </c>
      <c r="E200" t="s">
        <v>956</v>
      </c>
      <c r="F200" t="s">
        <v>895</v>
      </c>
    </row>
    <row r="201" spans="1:6" x14ac:dyDescent="0.55000000000000004">
      <c r="A201">
        <v>29907</v>
      </c>
      <c r="B201" t="s">
        <v>471</v>
      </c>
      <c r="C201" t="s">
        <v>472</v>
      </c>
      <c r="D201" t="s">
        <v>1071</v>
      </c>
      <c r="E201" t="s">
        <v>981</v>
      </c>
      <c r="F201" t="s">
        <v>895</v>
      </c>
    </row>
    <row r="202" spans="1:6" x14ac:dyDescent="0.55000000000000004">
      <c r="A202">
        <v>29913</v>
      </c>
      <c r="B202" t="s">
        <v>707</v>
      </c>
      <c r="C202" t="s">
        <v>708</v>
      </c>
      <c r="D202" t="s">
        <v>967</v>
      </c>
      <c r="E202" t="s">
        <v>968</v>
      </c>
      <c r="F202" t="s">
        <v>895</v>
      </c>
    </row>
    <row r="203" spans="1:6" x14ac:dyDescent="0.55000000000000004">
      <c r="A203">
        <v>29915</v>
      </c>
      <c r="B203" t="s">
        <v>699</v>
      </c>
      <c r="C203" t="s">
        <v>700</v>
      </c>
      <c r="D203" t="s">
        <v>1072</v>
      </c>
      <c r="E203" t="s">
        <v>981</v>
      </c>
      <c r="F203" t="s">
        <v>895</v>
      </c>
    </row>
    <row r="204" spans="1:6" x14ac:dyDescent="0.55000000000000004">
      <c r="A204">
        <v>29920</v>
      </c>
      <c r="B204" t="s">
        <v>131</v>
      </c>
      <c r="C204" t="s">
        <v>132</v>
      </c>
      <c r="D204" t="s">
        <v>1073</v>
      </c>
      <c r="E204" t="s">
        <v>966</v>
      </c>
      <c r="F204" t="s">
        <v>895</v>
      </c>
    </row>
    <row r="205" spans="1:6" x14ac:dyDescent="0.55000000000000004">
      <c r="A205">
        <v>29921</v>
      </c>
      <c r="B205" t="s">
        <v>125</v>
      </c>
      <c r="C205" t="s">
        <v>126</v>
      </c>
      <c r="D205" t="s">
        <v>1058</v>
      </c>
      <c r="E205" t="s">
        <v>983</v>
      </c>
      <c r="F205" t="s">
        <v>895</v>
      </c>
    </row>
    <row r="206" spans="1:6" x14ac:dyDescent="0.55000000000000004">
      <c r="A206">
        <v>29924</v>
      </c>
      <c r="B206" t="s">
        <v>115</v>
      </c>
      <c r="C206" t="s">
        <v>116</v>
      </c>
      <c r="D206" t="s">
        <v>1074</v>
      </c>
      <c r="E206" t="s">
        <v>968</v>
      </c>
      <c r="F206" t="s">
        <v>895</v>
      </c>
    </row>
    <row r="207" spans="1:6" x14ac:dyDescent="0.55000000000000004">
      <c r="A207">
        <v>29925</v>
      </c>
      <c r="B207" t="s">
        <v>103</v>
      </c>
      <c r="C207" t="s">
        <v>104</v>
      </c>
      <c r="D207" t="s">
        <v>1075</v>
      </c>
      <c r="E207" t="s">
        <v>981</v>
      </c>
      <c r="F207" t="s">
        <v>895</v>
      </c>
    </row>
    <row r="208" spans="1:6" x14ac:dyDescent="0.55000000000000004">
      <c r="A208">
        <v>29930</v>
      </c>
      <c r="B208" t="s">
        <v>87</v>
      </c>
      <c r="C208" t="s">
        <v>88</v>
      </c>
      <c r="D208" t="s">
        <v>1000</v>
      </c>
      <c r="E208" t="s">
        <v>995</v>
      </c>
      <c r="F208" t="s">
        <v>895</v>
      </c>
    </row>
    <row r="209" spans="1:6" x14ac:dyDescent="0.55000000000000004">
      <c r="A209">
        <v>29931</v>
      </c>
      <c r="B209" t="s">
        <v>81</v>
      </c>
      <c r="C209" t="s">
        <v>82</v>
      </c>
      <c r="D209" t="s">
        <v>1037</v>
      </c>
      <c r="E209" t="s">
        <v>983</v>
      </c>
      <c r="F209" t="s">
        <v>895</v>
      </c>
    </row>
    <row r="210" spans="1:6" x14ac:dyDescent="0.55000000000000004">
      <c r="A210">
        <v>29935</v>
      </c>
      <c r="B210" t="s">
        <v>71</v>
      </c>
      <c r="C210" t="s">
        <v>72</v>
      </c>
      <c r="D210" t="s">
        <v>1047</v>
      </c>
      <c r="E210" t="s">
        <v>1011</v>
      </c>
      <c r="F210" t="s">
        <v>895</v>
      </c>
    </row>
    <row r="211" spans="1:6" x14ac:dyDescent="0.55000000000000004">
      <c r="A211">
        <v>29936</v>
      </c>
      <c r="B211" t="s">
        <v>237</v>
      </c>
      <c r="C211" t="s">
        <v>238</v>
      </c>
      <c r="D211" t="s">
        <v>1076</v>
      </c>
      <c r="E211" t="s">
        <v>983</v>
      </c>
      <c r="F211" t="s">
        <v>895</v>
      </c>
    </row>
    <row r="212" spans="1:6" x14ac:dyDescent="0.55000000000000004">
      <c r="A212">
        <v>29937</v>
      </c>
      <c r="B212" t="s">
        <v>243</v>
      </c>
      <c r="C212" t="s">
        <v>244</v>
      </c>
      <c r="D212" t="s">
        <v>1077</v>
      </c>
      <c r="E212" t="s">
        <v>966</v>
      </c>
      <c r="F212" t="s">
        <v>895</v>
      </c>
    </row>
    <row r="213" spans="1:6" x14ac:dyDescent="0.55000000000000004">
      <c r="A213">
        <v>29942</v>
      </c>
      <c r="B213" t="s">
        <v>263</v>
      </c>
      <c r="C213" t="s">
        <v>264</v>
      </c>
      <c r="D213" t="s">
        <v>990</v>
      </c>
      <c r="E213" t="s">
        <v>981</v>
      </c>
      <c r="F213" t="s">
        <v>895</v>
      </c>
    </row>
    <row r="214" spans="1:6" x14ac:dyDescent="0.55000000000000004">
      <c r="A214">
        <v>29943</v>
      </c>
      <c r="B214" t="s">
        <v>269</v>
      </c>
      <c r="C214" t="s">
        <v>270</v>
      </c>
      <c r="D214" t="s">
        <v>1078</v>
      </c>
      <c r="E214" t="s">
        <v>966</v>
      </c>
      <c r="F214" t="s">
        <v>895</v>
      </c>
    </row>
    <row r="215" spans="1:6" x14ac:dyDescent="0.55000000000000004">
      <c r="A215">
        <v>29948</v>
      </c>
      <c r="B215" t="s">
        <v>153</v>
      </c>
      <c r="C215" t="s">
        <v>154</v>
      </c>
      <c r="D215" t="s">
        <v>984</v>
      </c>
      <c r="E215" t="s">
        <v>966</v>
      </c>
      <c r="F215" t="s">
        <v>895</v>
      </c>
    </row>
    <row r="216" spans="1:6" x14ac:dyDescent="0.55000000000000004">
      <c r="A216">
        <v>29949</v>
      </c>
      <c r="B216" t="s">
        <v>159</v>
      </c>
      <c r="C216" t="s">
        <v>160</v>
      </c>
      <c r="D216" t="s">
        <v>1079</v>
      </c>
      <c r="E216" t="s">
        <v>963</v>
      </c>
      <c r="F216" t="s">
        <v>895</v>
      </c>
    </row>
    <row r="217" spans="1:6" x14ac:dyDescent="0.55000000000000004">
      <c r="A217">
        <v>29953</v>
      </c>
      <c r="B217" t="s">
        <v>169</v>
      </c>
      <c r="C217" t="s">
        <v>170</v>
      </c>
      <c r="D217" t="s">
        <v>993</v>
      </c>
      <c r="E217" t="s">
        <v>981</v>
      </c>
      <c r="F217" t="s">
        <v>895</v>
      </c>
    </row>
    <row r="218" spans="1:6" x14ac:dyDescent="0.55000000000000004">
      <c r="A218">
        <v>29954</v>
      </c>
      <c r="B218" t="s">
        <v>175</v>
      </c>
      <c r="C218" t="s">
        <v>176</v>
      </c>
      <c r="D218" t="s">
        <v>984</v>
      </c>
      <c r="E218" t="s">
        <v>966</v>
      </c>
      <c r="F218" t="s">
        <v>895</v>
      </c>
    </row>
    <row r="219" spans="1:6" x14ac:dyDescent="0.55000000000000004">
      <c r="A219">
        <v>29955</v>
      </c>
      <c r="B219" t="s">
        <v>35</v>
      </c>
      <c r="C219" t="s">
        <v>36</v>
      </c>
      <c r="D219" t="s">
        <v>1080</v>
      </c>
      <c r="E219" t="s">
        <v>970</v>
      </c>
      <c r="F219" t="s">
        <v>895</v>
      </c>
    </row>
    <row r="220" spans="1:6" x14ac:dyDescent="0.55000000000000004">
      <c r="A220">
        <v>29956</v>
      </c>
      <c r="B220" t="s">
        <v>41</v>
      </c>
      <c r="C220" t="s">
        <v>42</v>
      </c>
      <c r="D220" t="s">
        <v>1012</v>
      </c>
      <c r="E220" t="s">
        <v>966</v>
      </c>
      <c r="F220" t="s">
        <v>895</v>
      </c>
    </row>
    <row r="221" spans="1:6" x14ac:dyDescent="0.55000000000000004">
      <c r="A221">
        <v>29962</v>
      </c>
      <c r="B221" t="s">
        <v>63</v>
      </c>
      <c r="C221" t="s">
        <v>64</v>
      </c>
      <c r="D221" t="s">
        <v>1081</v>
      </c>
      <c r="E221" t="s">
        <v>952</v>
      </c>
      <c r="F221" t="s">
        <v>895</v>
      </c>
    </row>
    <row r="222" spans="1:6" x14ac:dyDescent="0.55000000000000004">
      <c r="A222">
        <v>29967</v>
      </c>
      <c r="B222" t="s">
        <v>85</v>
      </c>
      <c r="C222" t="s">
        <v>86</v>
      </c>
      <c r="D222" t="s">
        <v>1082</v>
      </c>
      <c r="E222" t="s">
        <v>995</v>
      </c>
      <c r="F222" t="s">
        <v>895</v>
      </c>
    </row>
    <row r="223" spans="1:6" x14ac:dyDescent="0.55000000000000004">
      <c r="A223">
        <v>29973</v>
      </c>
      <c r="B223" t="s">
        <v>821</v>
      </c>
      <c r="C223" t="s">
        <v>822</v>
      </c>
      <c r="D223" t="s">
        <v>1083</v>
      </c>
      <c r="E223" t="s">
        <v>970</v>
      </c>
      <c r="F223" t="s">
        <v>895</v>
      </c>
    </row>
    <row r="224" spans="1:6" x14ac:dyDescent="0.55000000000000004">
      <c r="A224">
        <v>29974</v>
      </c>
      <c r="B224" t="s">
        <v>827</v>
      </c>
      <c r="C224" t="s">
        <v>828</v>
      </c>
      <c r="D224" t="s">
        <v>999</v>
      </c>
      <c r="E224" t="s">
        <v>956</v>
      </c>
      <c r="F224" t="s">
        <v>895</v>
      </c>
    </row>
    <row r="225" spans="1:6" x14ac:dyDescent="0.55000000000000004">
      <c r="A225">
        <v>29981</v>
      </c>
      <c r="B225" t="s">
        <v>851</v>
      </c>
      <c r="C225" t="s">
        <v>852</v>
      </c>
      <c r="D225" t="s">
        <v>1084</v>
      </c>
      <c r="E225" t="s">
        <v>981</v>
      </c>
      <c r="F225" t="s">
        <v>895</v>
      </c>
    </row>
    <row r="226" spans="1:6" x14ac:dyDescent="0.55000000000000004">
      <c r="A226">
        <v>29987</v>
      </c>
      <c r="B226" t="s">
        <v>275</v>
      </c>
      <c r="C226" t="s">
        <v>276</v>
      </c>
      <c r="D226" t="s">
        <v>1085</v>
      </c>
      <c r="E226" t="s">
        <v>958</v>
      </c>
      <c r="F226" t="s">
        <v>895</v>
      </c>
    </row>
    <row r="227" spans="1:6" x14ac:dyDescent="0.55000000000000004">
      <c r="A227">
        <v>29991</v>
      </c>
      <c r="B227" t="s">
        <v>285</v>
      </c>
      <c r="C227" t="s">
        <v>286</v>
      </c>
      <c r="D227" t="s">
        <v>1086</v>
      </c>
      <c r="E227" t="s">
        <v>981</v>
      </c>
      <c r="F227" t="s">
        <v>895</v>
      </c>
    </row>
    <row r="228" spans="1:6" x14ac:dyDescent="0.55000000000000004">
      <c r="A228">
        <v>29992</v>
      </c>
      <c r="B228" t="s">
        <v>293</v>
      </c>
      <c r="C228" t="s">
        <v>294</v>
      </c>
      <c r="D228" t="s">
        <v>1087</v>
      </c>
      <c r="E228" t="s">
        <v>1019</v>
      </c>
      <c r="F228" t="s">
        <v>895</v>
      </c>
    </row>
    <row r="229" spans="1:6" x14ac:dyDescent="0.55000000000000004">
      <c r="A229">
        <v>29997</v>
      </c>
      <c r="B229" t="s">
        <v>309</v>
      </c>
      <c r="C229" t="s">
        <v>310</v>
      </c>
      <c r="D229" t="s">
        <v>992</v>
      </c>
      <c r="E229" t="s">
        <v>981</v>
      </c>
      <c r="F229" t="s">
        <v>895</v>
      </c>
    </row>
    <row r="230" spans="1:6" x14ac:dyDescent="0.55000000000000004">
      <c r="A230">
        <v>30003</v>
      </c>
      <c r="B230" t="s">
        <v>725</v>
      </c>
      <c r="C230" t="s">
        <v>726</v>
      </c>
      <c r="D230" t="s">
        <v>1088</v>
      </c>
      <c r="E230" t="s">
        <v>952</v>
      </c>
      <c r="F230" t="s">
        <v>895</v>
      </c>
    </row>
    <row r="231" spans="1:6" x14ac:dyDescent="0.55000000000000004">
      <c r="A231">
        <v>30004</v>
      </c>
      <c r="B231" t="s">
        <v>719</v>
      </c>
      <c r="C231" t="s">
        <v>720</v>
      </c>
      <c r="D231" t="s">
        <v>1024</v>
      </c>
      <c r="E231" t="s">
        <v>960</v>
      </c>
      <c r="F231" t="s">
        <v>895</v>
      </c>
    </row>
    <row r="232" spans="1:6" x14ac:dyDescent="0.55000000000000004">
      <c r="A232">
        <v>30008</v>
      </c>
      <c r="B232" t="s">
        <v>701</v>
      </c>
      <c r="C232" t="s">
        <v>702</v>
      </c>
      <c r="D232" t="s">
        <v>1089</v>
      </c>
      <c r="E232" t="s">
        <v>1017</v>
      </c>
      <c r="F232" t="s">
        <v>895</v>
      </c>
    </row>
    <row r="233" spans="1:6" x14ac:dyDescent="0.55000000000000004">
      <c r="A233">
        <v>30018</v>
      </c>
      <c r="B233" t="s">
        <v>425</v>
      </c>
      <c r="C233" t="s">
        <v>426</v>
      </c>
      <c r="D233" t="s">
        <v>980</v>
      </c>
      <c r="E233" t="s">
        <v>981</v>
      </c>
      <c r="F233" t="s">
        <v>895</v>
      </c>
    </row>
    <row r="234" spans="1:6" x14ac:dyDescent="0.55000000000000004">
      <c r="A234">
        <v>30023</v>
      </c>
      <c r="B234" t="s">
        <v>407</v>
      </c>
      <c r="C234" t="s">
        <v>408</v>
      </c>
      <c r="D234" t="s">
        <v>1090</v>
      </c>
      <c r="E234" t="s">
        <v>995</v>
      </c>
      <c r="F234" t="s">
        <v>895</v>
      </c>
    </row>
    <row r="235" spans="1:6" x14ac:dyDescent="0.55000000000000004">
      <c r="A235">
        <v>30024</v>
      </c>
      <c r="B235" t="s">
        <v>401</v>
      </c>
      <c r="C235" t="s">
        <v>402</v>
      </c>
      <c r="D235" t="s">
        <v>1042</v>
      </c>
      <c r="E235" t="s">
        <v>981</v>
      </c>
      <c r="F235" t="s">
        <v>895</v>
      </c>
    </row>
    <row r="236" spans="1:6" x14ac:dyDescent="0.55000000000000004">
      <c r="A236">
        <v>30028</v>
      </c>
      <c r="B236" t="s">
        <v>753</v>
      </c>
      <c r="C236" t="s">
        <v>754</v>
      </c>
      <c r="D236" t="s">
        <v>1091</v>
      </c>
      <c r="E236" t="s">
        <v>958</v>
      </c>
      <c r="F236" t="s">
        <v>895</v>
      </c>
    </row>
    <row r="237" spans="1:6" x14ac:dyDescent="0.55000000000000004">
      <c r="A237">
        <v>30031</v>
      </c>
      <c r="B237" t="s">
        <v>763</v>
      </c>
      <c r="C237" t="s">
        <v>764</v>
      </c>
      <c r="D237" t="s">
        <v>1092</v>
      </c>
      <c r="E237" t="s">
        <v>983</v>
      </c>
      <c r="F237" t="s">
        <v>895</v>
      </c>
    </row>
    <row r="238" spans="1:6" x14ac:dyDescent="0.55000000000000004">
      <c r="A238">
        <v>30032</v>
      </c>
      <c r="B238" t="s">
        <v>769</v>
      </c>
      <c r="C238" t="s">
        <v>770</v>
      </c>
      <c r="D238" t="s">
        <v>1093</v>
      </c>
      <c r="E238" t="s">
        <v>956</v>
      </c>
      <c r="F238" t="s">
        <v>895</v>
      </c>
    </row>
    <row r="239" spans="1:6" x14ac:dyDescent="0.55000000000000004">
      <c r="A239">
        <v>30033</v>
      </c>
      <c r="B239" t="s">
        <v>775</v>
      </c>
      <c r="C239" t="s">
        <v>776</v>
      </c>
      <c r="D239" t="s">
        <v>1094</v>
      </c>
      <c r="E239" t="s">
        <v>1011</v>
      </c>
      <c r="F239" t="s">
        <v>895</v>
      </c>
    </row>
    <row r="240" spans="1:6" x14ac:dyDescent="0.55000000000000004">
      <c r="A240">
        <v>30034</v>
      </c>
      <c r="B240" t="s">
        <v>777</v>
      </c>
      <c r="C240" t="s">
        <v>778</v>
      </c>
      <c r="D240" t="s">
        <v>1076</v>
      </c>
      <c r="E240" t="s">
        <v>983</v>
      </c>
      <c r="F240" t="s">
        <v>895</v>
      </c>
    </row>
    <row r="241" spans="1:6" x14ac:dyDescent="0.55000000000000004">
      <c r="A241">
        <v>30035</v>
      </c>
      <c r="B241" t="s">
        <v>783</v>
      </c>
      <c r="C241" t="s">
        <v>784</v>
      </c>
      <c r="D241" t="s">
        <v>1095</v>
      </c>
      <c r="E241" t="s">
        <v>966</v>
      </c>
      <c r="F241" t="s">
        <v>895</v>
      </c>
    </row>
    <row r="242" spans="1:6" x14ac:dyDescent="0.55000000000000004">
      <c r="A242">
        <v>30036</v>
      </c>
      <c r="B242" t="s">
        <v>789</v>
      </c>
      <c r="C242" t="s">
        <v>790</v>
      </c>
      <c r="D242" t="s">
        <v>1059</v>
      </c>
      <c r="E242" t="s">
        <v>958</v>
      </c>
      <c r="F242" t="s">
        <v>895</v>
      </c>
    </row>
    <row r="243" spans="1:6" x14ac:dyDescent="0.55000000000000004">
      <c r="A243">
        <v>30039</v>
      </c>
      <c r="B243" t="s">
        <v>799</v>
      </c>
      <c r="C243" t="s">
        <v>800</v>
      </c>
      <c r="D243" t="s">
        <v>1096</v>
      </c>
      <c r="E243" t="s">
        <v>995</v>
      </c>
      <c r="F243" t="s">
        <v>895</v>
      </c>
    </row>
    <row r="244" spans="1:6" x14ac:dyDescent="0.55000000000000004">
      <c r="A244">
        <v>30040</v>
      </c>
      <c r="B244" t="s">
        <v>805</v>
      </c>
      <c r="C244" t="s">
        <v>806</v>
      </c>
      <c r="D244" t="s">
        <v>1085</v>
      </c>
      <c r="E244" t="s">
        <v>958</v>
      </c>
      <c r="F244" t="s">
        <v>895</v>
      </c>
    </row>
    <row r="245" spans="1:6" x14ac:dyDescent="0.55000000000000004">
      <c r="A245">
        <v>30045</v>
      </c>
      <c r="B245" t="s">
        <v>633</v>
      </c>
      <c r="C245" t="s">
        <v>634</v>
      </c>
      <c r="D245" t="s">
        <v>1097</v>
      </c>
      <c r="E245" t="s">
        <v>983</v>
      </c>
      <c r="F245" t="s">
        <v>895</v>
      </c>
    </row>
    <row r="246" spans="1:6" x14ac:dyDescent="0.55000000000000004">
      <c r="A246">
        <v>30046</v>
      </c>
      <c r="B246" t="s">
        <v>639</v>
      </c>
      <c r="C246" t="s">
        <v>640</v>
      </c>
      <c r="D246" t="s">
        <v>1098</v>
      </c>
      <c r="E246" t="s">
        <v>966</v>
      </c>
      <c r="F246" t="s">
        <v>895</v>
      </c>
    </row>
    <row r="247" spans="1:6" x14ac:dyDescent="0.55000000000000004">
      <c r="A247">
        <v>30051</v>
      </c>
      <c r="B247" t="s">
        <v>657</v>
      </c>
      <c r="C247" t="s">
        <v>658</v>
      </c>
      <c r="D247" t="s">
        <v>1084</v>
      </c>
      <c r="E247" t="s">
        <v>981</v>
      </c>
      <c r="F247" t="s">
        <v>895</v>
      </c>
    </row>
    <row r="248" spans="1:6" x14ac:dyDescent="0.55000000000000004">
      <c r="A248">
        <v>30055</v>
      </c>
      <c r="B248" t="s">
        <v>499</v>
      </c>
      <c r="C248" t="s">
        <v>500</v>
      </c>
      <c r="D248" t="s">
        <v>999</v>
      </c>
      <c r="E248" t="s">
        <v>956</v>
      </c>
      <c r="F248" t="s">
        <v>895</v>
      </c>
    </row>
    <row r="249" spans="1:6" x14ac:dyDescent="0.55000000000000004">
      <c r="A249">
        <v>30061</v>
      </c>
      <c r="B249" t="s">
        <v>523</v>
      </c>
      <c r="C249" t="s">
        <v>524</v>
      </c>
      <c r="D249" t="s">
        <v>1099</v>
      </c>
      <c r="E249" t="s">
        <v>966</v>
      </c>
      <c r="F249" t="s">
        <v>895</v>
      </c>
    </row>
    <row r="250" spans="1:6" x14ac:dyDescent="0.55000000000000004">
      <c r="A250">
        <v>30064</v>
      </c>
      <c r="B250" t="s">
        <v>171</v>
      </c>
      <c r="C250" t="s">
        <v>172</v>
      </c>
      <c r="D250" t="s">
        <v>1100</v>
      </c>
      <c r="E250" t="s">
        <v>981</v>
      </c>
      <c r="F250" t="s">
        <v>895</v>
      </c>
    </row>
    <row r="251" spans="1:6" x14ac:dyDescent="0.55000000000000004">
      <c r="A251">
        <v>30070</v>
      </c>
      <c r="B251" t="s">
        <v>149</v>
      </c>
      <c r="C251" t="s">
        <v>150</v>
      </c>
      <c r="D251" t="s">
        <v>1101</v>
      </c>
      <c r="E251" t="s">
        <v>954</v>
      </c>
      <c r="F251" t="s">
        <v>895</v>
      </c>
    </row>
    <row r="252" spans="1:6" x14ac:dyDescent="0.55000000000000004">
      <c r="A252">
        <v>30071</v>
      </c>
      <c r="B252" t="s">
        <v>147</v>
      </c>
      <c r="C252" t="s">
        <v>148</v>
      </c>
      <c r="D252" t="s">
        <v>1102</v>
      </c>
      <c r="E252" t="s">
        <v>981</v>
      </c>
      <c r="F252" t="s">
        <v>895</v>
      </c>
    </row>
    <row r="253" spans="1:6" x14ac:dyDescent="0.55000000000000004">
      <c r="A253">
        <v>30076</v>
      </c>
      <c r="B253" t="s">
        <v>683</v>
      </c>
      <c r="C253" t="s">
        <v>684</v>
      </c>
      <c r="D253" t="s">
        <v>1103</v>
      </c>
      <c r="E253" t="s">
        <v>968</v>
      </c>
      <c r="F253" t="s">
        <v>895</v>
      </c>
    </row>
    <row r="254" spans="1:6" x14ac:dyDescent="0.55000000000000004">
      <c r="A254">
        <v>30080</v>
      </c>
      <c r="B254" t="s">
        <v>613</v>
      </c>
      <c r="C254" t="s">
        <v>614</v>
      </c>
      <c r="D254" t="s">
        <v>1104</v>
      </c>
      <c r="E254" t="s">
        <v>981</v>
      </c>
      <c r="F254" t="s">
        <v>895</v>
      </c>
    </row>
    <row r="255" spans="1:6" x14ac:dyDescent="0.55000000000000004">
      <c r="A255">
        <v>30090</v>
      </c>
      <c r="B255" t="s">
        <v>355</v>
      </c>
      <c r="C255" t="s">
        <v>356</v>
      </c>
      <c r="D255" t="s">
        <v>1028</v>
      </c>
      <c r="E255" t="s">
        <v>966</v>
      </c>
      <c r="F255" t="s">
        <v>895</v>
      </c>
    </row>
    <row r="256" spans="1:6" x14ac:dyDescent="0.55000000000000004">
      <c r="A256">
        <v>30095</v>
      </c>
      <c r="B256" t="s">
        <v>333</v>
      </c>
      <c r="C256" t="s">
        <v>334</v>
      </c>
      <c r="D256" t="s">
        <v>972</v>
      </c>
      <c r="E256" t="s">
        <v>966</v>
      </c>
      <c r="F256" t="s">
        <v>895</v>
      </c>
    </row>
    <row r="257" spans="1:6" x14ac:dyDescent="0.55000000000000004">
      <c r="A257">
        <v>30105</v>
      </c>
      <c r="B257" t="s">
        <v>823</v>
      </c>
      <c r="C257" t="s">
        <v>824</v>
      </c>
      <c r="D257" t="s">
        <v>1105</v>
      </c>
      <c r="E257" t="s">
        <v>983</v>
      </c>
      <c r="F257" t="s">
        <v>895</v>
      </c>
    </row>
    <row r="258" spans="1:6" x14ac:dyDescent="0.55000000000000004">
      <c r="A258">
        <v>30106</v>
      </c>
      <c r="B258" t="s">
        <v>829</v>
      </c>
      <c r="C258" t="s">
        <v>830</v>
      </c>
      <c r="D258" t="s">
        <v>1106</v>
      </c>
      <c r="E258" t="s">
        <v>966</v>
      </c>
      <c r="F258" t="s">
        <v>895</v>
      </c>
    </row>
    <row r="259" spans="1:6" x14ac:dyDescent="0.55000000000000004">
      <c r="A259">
        <v>30107</v>
      </c>
      <c r="B259" t="s">
        <v>835</v>
      </c>
      <c r="C259" t="s">
        <v>836</v>
      </c>
      <c r="D259" t="s">
        <v>1107</v>
      </c>
      <c r="E259" t="s">
        <v>963</v>
      </c>
      <c r="F259" t="s">
        <v>895</v>
      </c>
    </row>
    <row r="260" spans="1:6" x14ac:dyDescent="0.55000000000000004">
      <c r="A260">
        <v>30109</v>
      </c>
      <c r="B260" t="s">
        <v>845</v>
      </c>
      <c r="C260" t="s">
        <v>846</v>
      </c>
      <c r="D260" t="s">
        <v>1108</v>
      </c>
      <c r="E260" t="s">
        <v>970</v>
      </c>
      <c r="F260" t="s">
        <v>895</v>
      </c>
    </row>
    <row r="261" spans="1:6" x14ac:dyDescent="0.55000000000000004">
      <c r="A261">
        <v>30111</v>
      </c>
      <c r="B261" t="s">
        <v>453</v>
      </c>
      <c r="C261" t="s">
        <v>454</v>
      </c>
      <c r="D261" t="s">
        <v>1109</v>
      </c>
      <c r="E261" t="s">
        <v>995</v>
      </c>
      <c r="F261" t="s">
        <v>895</v>
      </c>
    </row>
    <row r="262" spans="1:6" x14ac:dyDescent="0.55000000000000004">
      <c r="A262">
        <v>30112</v>
      </c>
      <c r="B262" t="s">
        <v>447</v>
      </c>
      <c r="C262" t="s">
        <v>448</v>
      </c>
      <c r="D262" t="s">
        <v>1110</v>
      </c>
      <c r="E262" t="s">
        <v>981</v>
      </c>
      <c r="F262" t="s">
        <v>895</v>
      </c>
    </row>
    <row r="263" spans="1:6" x14ac:dyDescent="0.55000000000000004">
      <c r="A263">
        <v>30117</v>
      </c>
      <c r="B263" t="s">
        <v>431</v>
      </c>
      <c r="C263" t="s">
        <v>432</v>
      </c>
      <c r="D263" t="s">
        <v>1021</v>
      </c>
      <c r="E263" t="s">
        <v>966</v>
      </c>
      <c r="F263" t="s">
        <v>895</v>
      </c>
    </row>
    <row r="264" spans="1:6" x14ac:dyDescent="0.55000000000000004">
      <c r="A264">
        <v>30118</v>
      </c>
      <c r="B264" t="s">
        <v>429</v>
      </c>
      <c r="C264" t="s">
        <v>430</v>
      </c>
      <c r="D264" t="s">
        <v>999</v>
      </c>
      <c r="E264" t="s">
        <v>956</v>
      </c>
      <c r="F264" t="s">
        <v>895</v>
      </c>
    </row>
    <row r="265" spans="1:6" x14ac:dyDescent="0.55000000000000004">
      <c r="A265">
        <v>29494</v>
      </c>
      <c r="B265" t="s">
        <v>713</v>
      </c>
      <c r="C265" t="s">
        <v>714</v>
      </c>
      <c r="D265" t="s">
        <v>1111</v>
      </c>
      <c r="E265" t="s">
        <v>916</v>
      </c>
      <c r="F265" t="s">
        <v>1112</v>
      </c>
    </row>
    <row r="266" spans="1:6" x14ac:dyDescent="0.55000000000000004">
      <c r="A266">
        <v>29499</v>
      </c>
      <c r="B266" t="s">
        <v>649</v>
      </c>
      <c r="C266" t="s">
        <v>650</v>
      </c>
      <c r="D266" t="s">
        <v>1113</v>
      </c>
      <c r="E266" t="s">
        <v>1114</v>
      </c>
      <c r="F266" t="s">
        <v>1112</v>
      </c>
    </row>
    <row r="267" spans="1:6" x14ac:dyDescent="0.55000000000000004">
      <c r="A267">
        <v>29503</v>
      </c>
      <c r="B267" t="s">
        <v>737</v>
      </c>
      <c r="C267" t="s">
        <v>738</v>
      </c>
      <c r="D267" t="s">
        <v>1115</v>
      </c>
      <c r="E267" t="s">
        <v>1116</v>
      </c>
      <c r="F267" t="s">
        <v>1112</v>
      </c>
    </row>
    <row r="268" spans="1:6" x14ac:dyDescent="0.55000000000000004">
      <c r="A268">
        <v>29510</v>
      </c>
      <c r="B268" t="s">
        <v>735</v>
      </c>
      <c r="C268" t="s">
        <v>736</v>
      </c>
      <c r="D268" t="s">
        <v>1117</v>
      </c>
      <c r="E268" t="s">
        <v>916</v>
      </c>
      <c r="F268" t="s">
        <v>1112</v>
      </c>
    </row>
    <row r="269" spans="1:6" x14ac:dyDescent="0.55000000000000004">
      <c r="A269">
        <v>29515</v>
      </c>
      <c r="B269" t="s">
        <v>465</v>
      </c>
      <c r="C269" t="s">
        <v>466</v>
      </c>
      <c r="D269" t="s">
        <v>1118</v>
      </c>
      <c r="E269" t="s">
        <v>1119</v>
      </c>
      <c r="F269" t="s">
        <v>1112</v>
      </c>
    </row>
    <row r="270" spans="1:6" x14ac:dyDescent="0.55000000000000004">
      <c r="A270">
        <v>29527</v>
      </c>
      <c r="B270" t="s">
        <v>535</v>
      </c>
      <c r="C270" t="s">
        <v>536</v>
      </c>
      <c r="D270" t="s">
        <v>1115</v>
      </c>
      <c r="E270" t="s">
        <v>1116</v>
      </c>
      <c r="F270" t="s">
        <v>1112</v>
      </c>
    </row>
    <row r="271" spans="1:6" x14ac:dyDescent="0.55000000000000004">
      <c r="A271">
        <v>29530</v>
      </c>
      <c r="B271" t="s">
        <v>395</v>
      </c>
      <c r="C271" t="s">
        <v>396</v>
      </c>
      <c r="D271" t="s">
        <v>1120</v>
      </c>
      <c r="E271" t="s">
        <v>916</v>
      </c>
      <c r="F271" t="s">
        <v>1112</v>
      </c>
    </row>
    <row r="272" spans="1:6" x14ac:dyDescent="0.55000000000000004">
      <c r="A272">
        <v>29539</v>
      </c>
      <c r="B272" t="s">
        <v>281</v>
      </c>
      <c r="C272" t="s">
        <v>282</v>
      </c>
      <c r="D272" t="s">
        <v>1111</v>
      </c>
      <c r="E272" t="s">
        <v>916</v>
      </c>
      <c r="F272" t="s">
        <v>1112</v>
      </c>
    </row>
    <row r="273" spans="1:6" x14ac:dyDescent="0.55000000000000004">
      <c r="A273">
        <v>29541</v>
      </c>
      <c r="B273" t="s">
        <v>185</v>
      </c>
      <c r="C273" t="s">
        <v>186</v>
      </c>
      <c r="D273" t="s">
        <v>1118</v>
      </c>
      <c r="E273" t="s">
        <v>1119</v>
      </c>
      <c r="F273" t="s">
        <v>1112</v>
      </c>
    </row>
    <row r="274" spans="1:6" x14ac:dyDescent="0.55000000000000004">
      <c r="A274">
        <v>29544</v>
      </c>
      <c r="B274" t="s">
        <v>583</v>
      </c>
      <c r="C274" t="s">
        <v>584</v>
      </c>
      <c r="D274" t="s">
        <v>1118</v>
      </c>
      <c r="E274" t="s">
        <v>1119</v>
      </c>
      <c r="F274" t="s">
        <v>1112</v>
      </c>
    </row>
    <row r="275" spans="1:6" x14ac:dyDescent="0.55000000000000004">
      <c r="A275">
        <v>29546</v>
      </c>
      <c r="B275" t="s">
        <v>33</v>
      </c>
      <c r="C275" t="s">
        <v>34</v>
      </c>
      <c r="D275" t="s">
        <v>1121</v>
      </c>
      <c r="E275" t="s">
        <v>1122</v>
      </c>
      <c r="F275" t="s">
        <v>1123</v>
      </c>
    </row>
    <row r="276" spans="1:6" x14ac:dyDescent="0.55000000000000004">
      <c r="A276">
        <v>29548</v>
      </c>
      <c r="B276" t="s">
        <v>419</v>
      </c>
      <c r="C276" t="s">
        <v>420</v>
      </c>
      <c r="D276" t="s">
        <v>1124</v>
      </c>
      <c r="E276" t="s">
        <v>1114</v>
      </c>
      <c r="F276" t="s">
        <v>1112</v>
      </c>
    </row>
    <row r="277" spans="1:6" x14ac:dyDescent="0.55000000000000004">
      <c r="A277">
        <v>29557</v>
      </c>
      <c r="B277" t="s">
        <v>537</v>
      </c>
      <c r="C277" t="s">
        <v>538</v>
      </c>
      <c r="D277" t="s">
        <v>1113</v>
      </c>
      <c r="E277" t="s">
        <v>1114</v>
      </c>
      <c r="F277" t="s">
        <v>1112</v>
      </c>
    </row>
    <row r="278" spans="1:6" x14ac:dyDescent="0.55000000000000004">
      <c r="A278">
        <v>29558</v>
      </c>
      <c r="B278" t="s">
        <v>441</v>
      </c>
      <c r="C278" t="s">
        <v>442</v>
      </c>
      <c r="D278" t="s">
        <v>1125</v>
      </c>
      <c r="E278" t="s">
        <v>916</v>
      </c>
      <c r="F278" t="s">
        <v>1112</v>
      </c>
    </row>
    <row r="279" spans="1:6" x14ac:dyDescent="0.55000000000000004">
      <c r="A279">
        <v>29567</v>
      </c>
      <c r="B279" t="s">
        <v>51</v>
      </c>
      <c r="C279" t="s">
        <v>52</v>
      </c>
      <c r="D279" t="s">
        <v>1111</v>
      </c>
      <c r="E279" t="s">
        <v>916</v>
      </c>
      <c r="F279" t="s">
        <v>1112</v>
      </c>
    </row>
    <row r="280" spans="1:6" x14ac:dyDescent="0.55000000000000004">
      <c r="A280">
        <v>29576</v>
      </c>
      <c r="B280" t="s">
        <v>555</v>
      </c>
      <c r="C280" t="s">
        <v>556</v>
      </c>
      <c r="D280" t="s">
        <v>1126</v>
      </c>
      <c r="E280" t="s">
        <v>916</v>
      </c>
      <c r="F280" t="s">
        <v>1112</v>
      </c>
    </row>
    <row r="281" spans="1:6" x14ac:dyDescent="0.55000000000000004">
      <c r="A281">
        <v>29577</v>
      </c>
      <c r="B281" t="s">
        <v>209</v>
      </c>
      <c r="C281" t="s">
        <v>210</v>
      </c>
      <c r="D281" t="s">
        <v>1115</v>
      </c>
      <c r="E281" t="s">
        <v>1116</v>
      </c>
      <c r="F281" t="s">
        <v>1112</v>
      </c>
    </row>
    <row r="282" spans="1:6" x14ac:dyDescent="0.55000000000000004">
      <c r="A282">
        <v>29587</v>
      </c>
      <c r="B282" t="s">
        <v>695</v>
      </c>
      <c r="C282" t="s">
        <v>696</v>
      </c>
      <c r="D282" t="s">
        <v>1121</v>
      </c>
      <c r="E282" t="s">
        <v>1122</v>
      </c>
      <c r="F282" t="s">
        <v>1123</v>
      </c>
    </row>
    <row r="283" spans="1:6" x14ac:dyDescent="0.55000000000000004">
      <c r="A283">
        <v>29596</v>
      </c>
      <c r="B283" t="s">
        <v>119</v>
      </c>
      <c r="C283" t="s">
        <v>120</v>
      </c>
      <c r="D283" t="s">
        <v>1120</v>
      </c>
      <c r="E283" t="s">
        <v>916</v>
      </c>
      <c r="F283" t="s">
        <v>1112</v>
      </c>
    </row>
    <row r="284" spans="1:6" x14ac:dyDescent="0.55000000000000004">
      <c r="A284">
        <v>29601</v>
      </c>
      <c r="B284" t="s">
        <v>559</v>
      </c>
      <c r="C284" t="s">
        <v>560</v>
      </c>
      <c r="D284" t="s">
        <v>1127</v>
      </c>
      <c r="E284" t="s">
        <v>916</v>
      </c>
      <c r="F284" t="s">
        <v>1112</v>
      </c>
    </row>
    <row r="285" spans="1:6" x14ac:dyDescent="0.55000000000000004">
      <c r="A285">
        <v>29603</v>
      </c>
      <c r="B285" t="s">
        <v>581</v>
      </c>
      <c r="C285" t="s">
        <v>582</v>
      </c>
      <c r="D285" t="s">
        <v>1126</v>
      </c>
      <c r="E285" t="s">
        <v>916</v>
      </c>
      <c r="F285" t="s">
        <v>1112</v>
      </c>
    </row>
    <row r="286" spans="1:6" x14ac:dyDescent="0.55000000000000004">
      <c r="A286">
        <v>29608</v>
      </c>
      <c r="B286" t="s">
        <v>345</v>
      </c>
      <c r="C286" t="s">
        <v>346</v>
      </c>
      <c r="D286" t="s">
        <v>1128</v>
      </c>
      <c r="E286" t="s">
        <v>1114</v>
      </c>
      <c r="F286" t="s">
        <v>1112</v>
      </c>
    </row>
    <row r="287" spans="1:6" x14ac:dyDescent="0.55000000000000004">
      <c r="A287">
        <v>29612</v>
      </c>
      <c r="B287" t="s">
        <v>349</v>
      </c>
      <c r="C287" t="s">
        <v>350</v>
      </c>
      <c r="D287" t="s">
        <v>1129</v>
      </c>
      <c r="E287" t="s">
        <v>1122</v>
      </c>
      <c r="F287" t="s">
        <v>1123</v>
      </c>
    </row>
    <row r="288" spans="1:6" x14ac:dyDescent="0.55000000000000004">
      <c r="A288">
        <v>29614</v>
      </c>
      <c r="B288" t="s">
        <v>671</v>
      </c>
      <c r="C288" t="s">
        <v>672</v>
      </c>
      <c r="D288" t="s">
        <v>1113</v>
      </c>
      <c r="E288" t="s">
        <v>1114</v>
      </c>
      <c r="F288" t="s">
        <v>1112</v>
      </c>
    </row>
    <row r="289" spans="1:6" x14ac:dyDescent="0.55000000000000004">
      <c r="A289">
        <v>29615</v>
      </c>
      <c r="B289" t="s">
        <v>677</v>
      </c>
      <c r="C289" t="s">
        <v>678</v>
      </c>
      <c r="D289" t="s">
        <v>1121</v>
      </c>
      <c r="E289" t="s">
        <v>1122</v>
      </c>
      <c r="F289" t="s">
        <v>1123</v>
      </c>
    </row>
    <row r="290" spans="1:6" x14ac:dyDescent="0.55000000000000004">
      <c r="A290">
        <v>29618</v>
      </c>
      <c r="B290" t="s">
        <v>561</v>
      </c>
      <c r="C290" t="s">
        <v>562</v>
      </c>
      <c r="D290" t="s">
        <v>1130</v>
      </c>
      <c r="E290" t="s">
        <v>1122</v>
      </c>
      <c r="F290" t="s">
        <v>1123</v>
      </c>
    </row>
    <row r="291" spans="1:6" x14ac:dyDescent="0.55000000000000004">
      <c r="A291">
        <v>29620</v>
      </c>
      <c r="B291" t="s">
        <v>463</v>
      </c>
      <c r="C291" t="s">
        <v>464</v>
      </c>
      <c r="D291" t="s">
        <v>1131</v>
      </c>
      <c r="E291" t="s">
        <v>1132</v>
      </c>
      <c r="F291" t="s">
        <v>1112</v>
      </c>
    </row>
    <row r="292" spans="1:6" x14ac:dyDescent="0.55000000000000004">
      <c r="A292">
        <v>29625</v>
      </c>
      <c r="B292" t="s">
        <v>367</v>
      </c>
      <c r="C292" t="s">
        <v>368</v>
      </c>
      <c r="D292" t="s">
        <v>1115</v>
      </c>
      <c r="E292" t="s">
        <v>1116</v>
      </c>
      <c r="F292" t="s">
        <v>1112</v>
      </c>
    </row>
    <row r="293" spans="1:6" x14ac:dyDescent="0.55000000000000004">
      <c r="A293">
        <v>29627</v>
      </c>
      <c r="B293" t="s">
        <v>31</v>
      </c>
      <c r="C293" t="s">
        <v>32</v>
      </c>
      <c r="D293" t="s">
        <v>1111</v>
      </c>
      <c r="E293" t="s">
        <v>916</v>
      </c>
      <c r="F293" t="s">
        <v>1112</v>
      </c>
    </row>
    <row r="294" spans="1:6" x14ac:dyDescent="0.55000000000000004">
      <c r="A294">
        <v>29629</v>
      </c>
      <c r="B294" t="s">
        <v>205</v>
      </c>
      <c r="C294" t="s">
        <v>206</v>
      </c>
      <c r="D294" t="s">
        <v>1133</v>
      </c>
      <c r="E294" t="s">
        <v>1114</v>
      </c>
      <c r="F294" t="s">
        <v>1112</v>
      </c>
    </row>
    <row r="295" spans="1:6" x14ac:dyDescent="0.55000000000000004">
      <c r="A295">
        <v>29639</v>
      </c>
      <c r="B295" t="s">
        <v>207</v>
      </c>
      <c r="C295" t="s">
        <v>208</v>
      </c>
      <c r="D295" t="s">
        <v>1111</v>
      </c>
      <c r="E295" t="s">
        <v>916</v>
      </c>
      <c r="F295" t="s">
        <v>1112</v>
      </c>
    </row>
    <row r="296" spans="1:6" x14ac:dyDescent="0.55000000000000004">
      <c r="A296">
        <v>29644</v>
      </c>
      <c r="B296" t="s">
        <v>211</v>
      </c>
      <c r="C296" t="s">
        <v>212</v>
      </c>
      <c r="D296" t="s">
        <v>1134</v>
      </c>
      <c r="E296" t="s">
        <v>1122</v>
      </c>
      <c r="F296" t="s">
        <v>1123</v>
      </c>
    </row>
    <row r="297" spans="1:6" x14ac:dyDescent="0.55000000000000004">
      <c r="A297">
        <v>29649</v>
      </c>
      <c r="B297" t="s">
        <v>759</v>
      </c>
      <c r="C297" t="s">
        <v>760</v>
      </c>
      <c r="D297" t="s">
        <v>1128</v>
      </c>
      <c r="E297" t="s">
        <v>1114</v>
      </c>
      <c r="F297" t="s">
        <v>1112</v>
      </c>
    </row>
    <row r="298" spans="1:6" x14ac:dyDescent="0.55000000000000004">
      <c r="A298">
        <v>29666</v>
      </c>
      <c r="B298" t="s">
        <v>187</v>
      </c>
      <c r="C298" t="s">
        <v>188</v>
      </c>
      <c r="D298" t="s">
        <v>1133</v>
      </c>
      <c r="E298" t="s">
        <v>1114</v>
      </c>
      <c r="F298" t="s">
        <v>1112</v>
      </c>
    </row>
    <row r="299" spans="1:6" x14ac:dyDescent="0.55000000000000004">
      <c r="A299">
        <v>29671</v>
      </c>
      <c r="B299" t="s">
        <v>165</v>
      </c>
      <c r="C299" t="s">
        <v>166</v>
      </c>
      <c r="D299" t="s">
        <v>1115</v>
      </c>
      <c r="E299" t="s">
        <v>1116</v>
      </c>
      <c r="F299" t="s">
        <v>1112</v>
      </c>
    </row>
    <row r="300" spans="1:6" x14ac:dyDescent="0.55000000000000004">
      <c r="A300">
        <v>29677</v>
      </c>
      <c r="B300" t="s">
        <v>141</v>
      </c>
      <c r="C300" t="s">
        <v>142</v>
      </c>
      <c r="D300" t="s">
        <v>1111</v>
      </c>
      <c r="E300" t="s">
        <v>916</v>
      </c>
      <c r="F300" t="s">
        <v>1112</v>
      </c>
    </row>
    <row r="301" spans="1:6" x14ac:dyDescent="0.55000000000000004">
      <c r="A301">
        <v>29680</v>
      </c>
      <c r="B301" t="s">
        <v>511</v>
      </c>
      <c r="C301" t="s">
        <v>512</v>
      </c>
      <c r="D301" t="s">
        <v>1135</v>
      </c>
      <c r="E301" t="s">
        <v>1114</v>
      </c>
      <c r="F301" t="s">
        <v>1112</v>
      </c>
    </row>
    <row r="302" spans="1:6" x14ac:dyDescent="0.55000000000000004">
      <c r="A302">
        <v>29692</v>
      </c>
      <c r="B302" t="s">
        <v>393</v>
      </c>
      <c r="C302" t="s">
        <v>394</v>
      </c>
      <c r="D302" t="s">
        <v>1136</v>
      </c>
      <c r="E302" t="s">
        <v>1137</v>
      </c>
      <c r="F302" t="s">
        <v>1112</v>
      </c>
    </row>
    <row r="303" spans="1:6" x14ac:dyDescent="0.55000000000000004">
      <c r="A303">
        <v>29698</v>
      </c>
      <c r="B303" t="s">
        <v>417</v>
      </c>
      <c r="C303" t="s">
        <v>418</v>
      </c>
      <c r="D303" t="s">
        <v>1128</v>
      </c>
      <c r="E303" t="s">
        <v>1114</v>
      </c>
      <c r="F303" t="s">
        <v>1112</v>
      </c>
    </row>
    <row r="304" spans="1:6" x14ac:dyDescent="0.55000000000000004">
      <c r="A304">
        <v>29699</v>
      </c>
      <c r="B304" t="s">
        <v>99</v>
      </c>
      <c r="C304" t="s">
        <v>100</v>
      </c>
      <c r="D304" t="s">
        <v>1128</v>
      </c>
      <c r="E304" t="s">
        <v>1114</v>
      </c>
      <c r="F304" t="s">
        <v>1112</v>
      </c>
    </row>
    <row r="305" spans="1:6" x14ac:dyDescent="0.55000000000000004">
      <c r="A305">
        <v>29705</v>
      </c>
      <c r="B305" t="s">
        <v>121</v>
      </c>
      <c r="C305" t="s">
        <v>122</v>
      </c>
      <c r="D305" t="s">
        <v>1138</v>
      </c>
      <c r="E305" t="s">
        <v>916</v>
      </c>
      <c r="F305" t="s">
        <v>1112</v>
      </c>
    </row>
    <row r="306" spans="1:6" x14ac:dyDescent="0.55000000000000004">
      <c r="A306">
        <v>29711</v>
      </c>
      <c r="B306" t="s">
        <v>227</v>
      </c>
      <c r="C306" t="s">
        <v>228</v>
      </c>
      <c r="D306" t="s">
        <v>1113</v>
      </c>
      <c r="E306" t="s">
        <v>1114</v>
      </c>
      <c r="F306" t="s">
        <v>1112</v>
      </c>
    </row>
    <row r="307" spans="1:6" x14ac:dyDescent="0.55000000000000004">
      <c r="A307">
        <v>29713</v>
      </c>
      <c r="B307" t="s">
        <v>233</v>
      </c>
      <c r="C307" t="s">
        <v>234</v>
      </c>
      <c r="D307" t="s">
        <v>1139</v>
      </c>
      <c r="E307" t="s">
        <v>1122</v>
      </c>
      <c r="F307" t="s">
        <v>1123</v>
      </c>
    </row>
    <row r="308" spans="1:6" x14ac:dyDescent="0.55000000000000004">
      <c r="A308">
        <v>29714</v>
      </c>
      <c r="B308" t="s">
        <v>229</v>
      </c>
      <c r="C308" t="s">
        <v>230</v>
      </c>
      <c r="D308" t="s">
        <v>1133</v>
      </c>
      <c r="E308" t="s">
        <v>1114</v>
      </c>
      <c r="F308" t="s">
        <v>1112</v>
      </c>
    </row>
    <row r="309" spans="1:6" x14ac:dyDescent="0.55000000000000004">
      <c r="A309">
        <v>29722</v>
      </c>
      <c r="B309" t="s">
        <v>867</v>
      </c>
      <c r="C309" t="s">
        <v>868</v>
      </c>
      <c r="D309" t="s">
        <v>1111</v>
      </c>
      <c r="E309" t="s">
        <v>916</v>
      </c>
      <c r="F309" t="s">
        <v>1112</v>
      </c>
    </row>
    <row r="310" spans="1:6" x14ac:dyDescent="0.55000000000000004">
      <c r="A310">
        <v>29730</v>
      </c>
      <c r="B310" t="s">
        <v>891</v>
      </c>
      <c r="C310" t="s">
        <v>892</v>
      </c>
      <c r="D310" t="s">
        <v>1118</v>
      </c>
      <c r="E310" t="s">
        <v>1119</v>
      </c>
      <c r="F310" t="s">
        <v>1112</v>
      </c>
    </row>
    <row r="311" spans="1:6" x14ac:dyDescent="0.55000000000000004">
      <c r="A311">
        <v>29734</v>
      </c>
      <c r="B311" t="s">
        <v>579</v>
      </c>
      <c r="C311" t="s">
        <v>580</v>
      </c>
      <c r="D311" t="s">
        <v>1111</v>
      </c>
      <c r="E311" t="s">
        <v>916</v>
      </c>
      <c r="F311" t="s">
        <v>1112</v>
      </c>
    </row>
    <row r="312" spans="1:6" x14ac:dyDescent="0.55000000000000004">
      <c r="A312">
        <v>29736</v>
      </c>
      <c r="B312" t="s">
        <v>585</v>
      </c>
      <c r="C312" t="s">
        <v>586</v>
      </c>
      <c r="D312" t="s">
        <v>1140</v>
      </c>
      <c r="E312" t="s">
        <v>1122</v>
      </c>
      <c r="F312" t="s">
        <v>1123</v>
      </c>
    </row>
    <row r="313" spans="1:6" x14ac:dyDescent="0.55000000000000004">
      <c r="A313">
        <v>29740</v>
      </c>
      <c r="B313" t="s">
        <v>601</v>
      </c>
      <c r="C313" t="s">
        <v>602</v>
      </c>
      <c r="D313" t="s">
        <v>1141</v>
      </c>
      <c r="E313" t="s">
        <v>1116</v>
      </c>
      <c r="F313" t="s">
        <v>1112</v>
      </c>
    </row>
    <row r="314" spans="1:6" x14ac:dyDescent="0.55000000000000004">
      <c r="A314">
        <v>29741</v>
      </c>
      <c r="B314" t="s">
        <v>607</v>
      </c>
      <c r="C314" t="s">
        <v>608</v>
      </c>
      <c r="D314" t="s">
        <v>1142</v>
      </c>
      <c r="E314" t="s">
        <v>1122</v>
      </c>
      <c r="F314" t="s">
        <v>1123</v>
      </c>
    </row>
    <row r="315" spans="1:6" x14ac:dyDescent="0.55000000000000004">
      <c r="A315">
        <v>29750</v>
      </c>
      <c r="B315" t="s">
        <v>757</v>
      </c>
      <c r="C315" t="s">
        <v>758</v>
      </c>
      <c r="D315" t="s">
        <v>1120</v>
      </c>
      <c r="E315" t="s">
        <v>916</v>
      </c>
      <c r="F315" t="s">
        <v>1112</v>
      </c>
    </row>
    <row r="316" spans="1:6" x14ac:dyDescent="0.55000000000000004">
      <c r="A316">
        <v>29755</v>
      </c>
      <c r="B316" t="s">
        <v>651</v>
      </c>
      <c r="C316" t="s">
        <v>652</v>
      </c>
      <c r="D316" t="s">
        <v>1125</v>
      </c>
      <c r="E316" t="s">
        <v>916</v>
      </c>
      <c r="F316" t="s">
        <v>1112</v>
      </c>
    </row>
    <row r="317" spans="1:6" x14ac:dyDescent="0.55000000000000004">
      <c r="A317">
        <v>29761</v>
      </c>
      <c r="B317" t="s">
        <v>629</v>
      </c>
      <c r="C317" t="s">
        <v>630</v>
      </c>
      <c r="D317" t="s">
        <v>1125</v>
      </c>
      <c r="E317" t="s">
        <v>916</v>
      </c>
      <c r="F317" t="s">
        <v>1112</v>
      </c>
    </row>
    <row r="318" spans="1:6" x14ac:dyDescent="0.55000000000000004">
      <c r="A318">
        <v>29766</v>
      </c>
      <c r="B318" t="s">
        <v>605</v>
      </c>
      <c r="C318" t="s">
        <v>606</v>
      </c>
      <c r="D318" t="s">
        <v>1113</v>
      </c>
      <c r="E318" t="s">
        <v>1114</v>
      </c>
      <c r="F318" t="s">
        <v>1112</v>
      </c>
    </row>
    <row r="319" spans="1:6" x14ac:dyDescent="0.55000000000000004">
      <c r="A319">
        <v>29770</v>
      </c>
      <c r="B319" t="s">
        <v>27</v>
      </c>
      <c r="C319" t="s">
        <v>28</v>
      </c>
      <c r="D319" t="s">
        <v>1128</v>
      </c>
      <c r="E319" t="s">
        <v>1114</v>
      </c>
      <c r="F319" t="s">
        <v>1112</v>
      </c>
    </row>
    <row r="320" spans="1:6" x14ac:dyDescent="0.55000000000000004">
      <c r="A320">
        <v>29776</v>
      </c>
      <c r="B320" t="s">
        <v>57</v>
      </c>
      <c r="C320" t="s">
        <v>58</v>
      </c>
      <c r="D320" t="s">
        <v>1143</v>
      </c>
      <c r="E320" t="s">
        <v>1122</v>
      </c>
      <c r="F320" t="s">
        <v>1123</v>
      </c>
    </row>
    <row r="321" spans="1:6" x14ac:dyDescent="0.55000000000000004">
      <c r="A321">
        <v>29778</v>
      </c>
      <c r="B321" t="s">
        <v>371</v>
      </c>
      <c r="C321" t="s">
        <v>372</v>
      </c>
      <c r="D321" t="s">
        <v>1144</v>
      </c>
      <c r="E321" t="s">
        <v>1122</v>
      </c>
      <c r="F321" t="s">
        <v>1123</v>
      </c>
    </row>
    <row r="322" spans="1:6" x14ac:dyDescent="0.55000000000000004">
      <c r="A322">
        <v>29780</v>
      </c>
      <c r="B322" t="s">
        <v>365</v>
      </c>
      <c r="C322" t="s">
        <v>366</v>
      </c>
      <c r="D322" t="s">
        <v>1145</v>
      </c>
      <c r="E322" t="s">
        <v>916</v>
      </c>
      <c r="F322" t="s">
        <v>1112</v>
      </c>
    </row>
    <row r="323" spans="1:6" x14ac:dyDescent="0.55000000000000004">
      <c r="A323">
        <v>29785</v>
      </c>
      <c r="B323" t="s">
        <v>689</v>
      </c>
      <c r="C323" t="s">
        <v>690</v>
      </c>
      <c r="D323" t="s">
        <v>1146</v>
      </c>
      <c r="E323" t="s">
        <v>916</v>
      </c>
      <c r="F323" t="s">
        <v>1112</v>
      </c>
    </row>
    <row r="324" spans="1:6" x14ac:dyDescent="0.55000000000000004">
      <c r="A324">
        <v>29789</v>
      </c>
      <c r="B324" t="s">
        <v>443</v>
      </c>
      <c r="C324" t="s">
        <v>444</v>
      </c>
      <c r="D324" t="s">
        <v>1115</v>
      </c>
      <c r="E324" t="s">
        <v>1116</v>
      </c>
      <c r="F324" t="s">
        <v>1112</v>
      </c>
    </row>
    <row r="325" spans="1:6" x14ac:dyDescent="0.55000000000000004">
      <c r="A325">
        <v>29794</v>
      </c>
      <c r="B325" t="s">
        <v>183</v>
      </c>
      <c r="C325" t="s">
        <v>184</v>
      </c>
      <c r="D325" t="s">
        <v>1118</v>
      </c>
      <c r="E325" t="s">
        <v>1119</v>
      </c>
      <c r="F325" t="s">
        <v>1112</v>
      </c>
    </row>
    <row r="326" spans="1:6" x14ac:dyDescent="0.55000000000000004">
      <c r="A326">
        <v>29796</v>
      </c>
      <c r="B326" t="s">
        <v>189</v>
      </c>
      <c r="C326" t="s">
        <v>190</v>
      </c>
      <c r="D326" t="s">
        <v>1147</v>
      </c>
      <c r="E326" t="s">
        <v>1122</v>
      </c>
      <c r="F326" t="s">
        <v>1123</v>
      </c>
    </row>
    <row r="327" spans="1:6" x14ac:dyDescent="0.55000000000000004">
      <c r="A327">
        <v>29797</v>
      </c>
      <c r="B327" t="s">
        <v>97</v>
      </c>
      <c r="C327" t="s">
        <v>98</v>
      </c>
      <c r="D327" t="s">
        <v>1148</v>
      </c>
      <c r="E327" t="s">
        <v>916</v>
      </c>
      <c r="F327" t="s">
        <v>1112</v>
      </c>
    </row>
    <row r="328" spans="1:6" x14ac:dyDescent="0.55000000000000004">
      <c r="A328">
        <v>29803</v>
      </c>
      <c r="B328" t="s">
        <v>75</v>
      </c>
      <c r="C328" t="s">
        <v>76</v>
      </c>
      <c r="D328" t="s">
        <v>1111</v>
      </c>
      <c r="E328" t="s">
        <v>916</v>
      </c>
      <c r="F328" t="s">
        <v>1112</v>
      </c>
    </row>
    <row r="329" spans="1:6" x14ac:dyDescent="0.55000000000000004">
      <c r="A329">
        <v>29807</v>
      </c>
      <c r="B329" t="s">
        <v>53</v>
      </c>
      <c r="C329" t="s">
        <v>54</v>
      </c>
      <c r="D329" t="s">
        <v>1149</v>
      </c>
      <c r="E329" t="s">
        <v>916</v>
      </c>
      <c r="F329" t="s">
        <v>1112</v>
      </c>
    </row>
    <row r="330" spans="1:6" x14ac:dyDescent="0.55000000000000004">
      <c r="A330">
        <v>29813</v>
      </c>
      <c r="B330" t="s">
        <v>29</v>
      </c>
      <c r="C330" t="s">
        <v>30</v>
      </c>
      <c r="D330" t="s">
        <v>1111</v>
      </c>
      <c r="E330" t="s">
        <v>916</v>
      </c>
      <c r="F330" t="s">
        <v>1112</v>
      </c>
    </row>
    <row r="331" spans="1:6" x14ac:dyDescent="0.55000000000000004">
      <c r="A331">
        <v>29822</v>
      </c>
      <c r="B331" t="s">
        <v>873</v>
      </c>
      <c r="C331" t="s">
        <v>874</v>
      </c>
      <c r="D331" t="s">
        <v>1115</v>
      </c>
      <c r="E331" t="s">
        <v>1116</v>
      </c>
      <c r="F331" t="s">
        <v>1112</v>
      </c>
    </row>
    <row r="332" spans="1:6" x14ac:dyDescent="0.55000000000000004">
      <c r="A332">
        <v>29824</v>
      </c>
      <c r="B332" t="s">
        <v>869</v>
      </c>
      <c r="C332" t="s">
        <v>870</v>
      </c>
      <c r="D332" t="s">
        <v>1115</v>
      </c>
      <c r="E332" t="s">
        <v>1116</v>
      </c>
      <c r="F332" t="s">
        <v>1112</v>
      </c>
    </row>
    <row r="333" spans="1:6" x14ac:dyDescent="0.55000000000000004">
      <c r="A333">
        <v>29830</v>
      </c>
      <c r="B333" t="s">
        <v>847</v>
      </c>
      <c r="C333" t="s">
        <v>848</v>
      </c>
      <c r="D333" t="s">
        <v>1118</v>
      </c>
      <c r="E333" t="s">
        <v>1119</v>
      </c>
      <c r="F333" t="s">
        <v>1112</v>
      </c>
    </row>
    <row r="334" spans="1:6" x14ac:dyDescent="0.55000000000000004">
      <c r="A334">
        <v>29831</v>
      </c>
      <c r="B334" t="s">
        <v>841</v>
      </c>
      <c r="C334" t="s">
        <v>842</v>
      </c>
      <c r="D334" t="s">
        <v>1150</v>
      </c>
      <c r="E334" t="s">
        <v>1116</v>
      </c>
      <c r="F334" t="s">
        <v>1112</v>
      </c>
    </row>
    <row r="335" spans="1:6" x14ac:dyDescent="0.55000000000000004">
      <c r="A335">
        <v>29832</v>
      </c>
      <c r="B335" t="s">
        <v>839</v>
      </c>
      <c r="C335" t="s">
        <v>840</v>
      </c>
      <c r="D335" t="s">
        <v>1151</v>
      </c>
      <c r="E335" t="s">
        <v>916</v>
      </c>
      <c r="F335" t="s">
        <v>1112</v>
      </c>
    </row>
    <row r="336" spans="1:6" x14ac:dyDescent="0.55000000000000004">
      <c r="A336">
        <v>29840</v>
      </c>
      <c r="B336" t="s">
        <v>811</v>
      </c>
      <c r="C336" t="s">
        <v>812</v>
      </c>
      <c r="D336" t="s">
        <v>1111</v>
      </c>
      <c r="E336" t="s">
        <v>916</v>
      </c>
      <c r="F336" t="s">
        <v>1112</v>
      </c>
    </row>
    <row r="337" spans="1:6" x14ac:dyDescent="0.55000000000000004">
      <c r="A337">
        <v>29851</v>
      </c>
      <c r="B337" t="s">
        <v>539</v>
      </c>
      <c r="C337" t="s">
        <v>540</v>
      </c>
      <c r="D337" t="s">
        <v>1152</v>
      </c>
      <c r="E337" t="s">
        <v>1122</v>
      </c>
      <c r="F337" t="s">
        <v>1123</v>
      </c>
    </row>
    <row r="338" spans="1:6" x14ac:dyDescent="0.55000000000000004">
      <c r="A338">
        <v>29852</v>
      </c>
      <c r="B338" t="s">
        <v>533</v>
      </c>
      <c r="C338" t="s">
        <v>534</v>
      </c>
      <c r="D338" t="s">
        <v>1153</v>
      </c>
      <c r="E338" t="s">
        <v>1116</v>
      </c>
      <c r="F338" t="s">
        <v>1112</v>
      </c>
    </row>
    <row r="339" spans="1:6" x14ac:dyDescent="0.55000000000000004">
      <c r="A339">
        <v>29855</v>
      </c>
      <c r="B339" t="s">
        <v>733</v>
      </c>
      <c r="C339" t="s">
        <v>734</v>
      </c>
      <c r="D339" t="s">
        <v>1111</v>
      </c>
      <c r="E339" t="s">
        <v>916</v>
      </c>
      <c r="F339" t="s">
        <v>1112</v>
      </c>
    </row>
    <row r="340" spans="1:6" x14ac:dyDescent="0.55000000000000004">
      <c r="A340">
        <v>29857</v>
      </c>
      <c r="B340" t="s">
        <v>739</v>
      </c>
      <c r="C340" t="s">
        <v>740</v>
      </c>
      <c r="D340" t="s">
        <v>1121</v>
      </c>
      <c r="E340" t="s">
        <v>1122</v>
      </c>
      <c r="F340" t="s">
        <v>1123</v>
      </c>
    </row>
    <row r="341" spans="1:6" x14ac:dyDescent="0.55000000000000004">
      <c r="A341">
        <v>29860</v>
      </c>
      <c r="B341" t="s">
        <v>793</v>
      </c>
      <c r="C341" t="s">
        <v>794</v>
      </c>
      <c r="D341" t="s">
        <v>1154</v>
      </c>
      <c r="E341" t="s">
        <v>1122</v>
      </c>
      <c r="F341" t="s">
        <v>1123</v>
      </c>
    </row>
    <row r="342" spans="1:6" x14ac:dyDescent="0.55000000000000004">
      <c r="A342">
        <v>29863</v>
      </c>
      <c r="B342" t="s">
        <v>809</v>
      </c>
      <c r="C342" t="s">
        <v>810</v>
      </c>
      <c r="D342" t="s">
        <v>1118</v>
      </c>
      <c r="E342" t="s">
        <v>1119</v>
      </c>
      <c r="F342" t="s">
        <v>1112</v>
      </c>
    </row>
    <row r="343" spans="1:6" x14ac:dyDescent="0.55000000000000004">
      <c r="A343">
        <v>29864</v>
      </c>
      <c r="B343" t="s">
        <v>343</v>
      </c>
      <c r="C343" t="s">
        <v>344</v>
      </c>
      <c r="D343" t="s">
        <v>1118</v>
      </c>
      <c r="E343" t="s">
        <v>1119</v>
      </c>
      <c r="F343" t="s">
        <v>1112</v>
      </c>
    </row>
    <row r="344" spans="1:6" x14ac:dyDescent="0.55000000000000004">
      <c r="A344">
        <v>29868</v>
      </c>
      <c r="B344" t="s">
        <v>327</v>
      </c>
      <c r="C344" t="s">
        <v>328</v>
      </c>
      <c r="D344" t="s">
        <v>1121</v>
      </c>
      <c r="E344" t="s">
        <v>1122</v>
      </c>
      <c r="F344" t="s">
        <v>1123</v>
      </c>
    </row>
    <row r="345" spans="1:6" x14ac:dyDescent="0.55000000000000004">
      <c r="A345">
        <v>29870</v>
      </c>
      <c r="B345" t="s">
        <v>321</v>
      </c>
      <c r="C345" t="s">
        <v>322</v>
      </c>
      <c r="D345" t="s">
        <v>1115</v>
      </c>
      <c r="E345" t="s">
        <v>1116</v>
      </c>
      <c r="F345" t="s">
        <v>1112</v>
      </c>
    </row>
    <row r="346" spans="1:6" x14ac:dyDescent="0.55000000000000004">
      <c r="A346">
        <v>29874</v>
      </c>
      <c r="B346" t="s">
        <v>305</v>
      </c>
      <c r="C346" t="s">
        <v>306</v>
      </c>
      <c r="D346" t="s">
        <v>1155</v>
      </c>
      <c r="E346" t="s">
        <v>1122</v>
      </c>
      <c r="F346" t="s">
        <v>1123</v>
      </c>
    </row>
    <row r="347" spans="1:6" x14ac:dyDescent="0.55000000000000004">
      <c r="A347">
        <v>29876</v>
      </c>
      <c r="B347" t="s">
        <v>299</v>
      </c>
      <c r="C347" t="s">
        <v>300</v>
      </c>
      <c r="D347" t="s">
        <v>1156</v>
      </c>
      <c r="E347" t="s">
        <v>1116</v>
      </c>
      <c r="F347" t="s">
        <v>1112</v>
      </c>
    </row>
    <row r="348" spans="1:6" x14ac:dyDescent="0.55000000000000004">
      <c r="A348">
        <v>29879</v>
      </c>
      <c r="B348" t="s">
        <v>557</v>
      </c>
      <c r="C348" t="s">
        <v>558</v>
      </c>
      <c r="D348" t="s">
        <v>1138</v>
      </c>
      <c r="E348" t="s">
        <v>916</v>
      </c>
      <c r="F348" t="s">
        <v>1112</v>
      </c>
    </row>
    <row r="349" spans="1:6" x14ac:dyDescent="0.55000000000000004">
      <c r="A349">
        <v>29881</v>
      </c>
      <c r="B349" t="s">
        <v>303</v>
      </c>
      <c r="C349" t="s">
        <v>304</v>
      </c>
      <c r="D349" t="s">
        <v>1120</v>
      </c>
      <c r="E349" t="s">
        <v>916</v>
      </c>
      <c r="F349" t="s">
        <v>1112</v>
      </c>
    </row>
    <row r="350" spans="1:6" x14ac:dyDescent="0.55000000000000004">
      <c r="A350">
        <v>29892</v>
      </c>
      <c r="B350" t="s">
        <v>253</v>
      </c>
      <c r="C350" t="s">
        <v>254</v>
      </c>
      <c r="D350" t="s">
        <v>1111</v>
      </c>
      <c r="E350" t="s">
        <v>916</v>
      </c>
      <c r="F350" t="s">
        <v>1112</v>
      </c>
    </row>
    <row r="351" spans="1:6" x14ac:dyDescent="0.55000000000000004">
      <c r="A351">
        <v>29895</v>
      </c>
      <c r="B351" t="s">
        <v>627</v>
      </c>
      <c r="C351" t="s">
        <v>628</v>
      </c>
      <c r="D351" t="s">
        <v>1157</v>
      </c>
      <c r="E351" t="s">
        <v>1116</v>
      </c>
      <c r="F351" t="s">
        <v>1112</v>
      </c>
    </row>
    <row r="352" spans="1:6" x14ac:dyDescent="0.55000000000000004">
      <c r="A352">
        <v>29900</v>
      </c>
      <c r="B352" t="s">
        <v>509</v>
      </c>
      <c r="C352" t="s">
        <v>510</v>
      </c>
      <c r="D352" t="s">
        <v>1133</v>
      </c>
      <c r="E352" t="s">
        <v>1114</v>
      </c>
      <c r="F352" t="s">
        <v>1112</v>
      </c>
    </row>
    <row r="353" spans="1:6" x14ac:dyDescent="0.55000000000000004">
      <c r="A353">
        <v>29904</v>
      </c>
      <c r="B353" t="s">
        <v>491</v>
      </c>
      <c r="C353" t="s">
        <v>492</v>
      </c>
      <c r="D353" t="s">
        <v>1158</v>
      </c>
      <c r="E353" t="s">
        <v>1122</v>
      </c>
      <c r="F353" t="s">
        <v>1123</v>
      </c>
    </row>
    <row r="354" spans="1:6" x14ac:dyDescent="0.55000000000000004">
      <c r="A354">
        <v>29905</v>
      </c>
      <c r="B354" t="s">
        <v>485</v>
      </c>
      <c r="C354" t="s">
        <v>486</v>
      </c>
      <c r="D354" t="s">
        <v>1118</v>
      </c>
      <c r="E354" t="s">
        <v>1119</v>
      </c>
      <c r="F354" t="s">
        <v>1112</v>
      </c>
    </row>
    <row r="355" spans="1:6" x14ac:dyDescent="0.55000000000000004">
      <c r="A355">
        <v>29908</v>
      </c>
      <c r="B355" t="s">
        <v>467</v>
      </c>
      <c r="C355" t="s">
        <v>468</v>
      </c>
      <c r="D355" t="s">
        <v>1159</v>
      </c>
      <c r="E355" t="s">
        <v>1122</v>
      </c>
      <c r="F355" t="s">
        <v>1123</v>
      </c>
    </row>
    <row r="356" spans="1:6" x14ac:dyDescent="0.55000000000000004">
      <c r="A356">
        <v>29910</v>
      </c>
      <c r="B356" t="s">
        <v>461</v>
      </c>
      <c r="C356" t="s">
        <v>462</v>
      </c>
      <c r="D356" t="s">
        <v>1160</v>
      </c>
      <c r="E356" t="s">
        <v>1119</v>
      </c>
      <c r="F356" t="s">
        <v>1112</v>
      </c>
    </row>
    <row r="357" spans="1:6" x14ac:dyDescent="0.55000000000000004">
      <c r="A357">
        <v>29911</v>
      </c>
      <c r="B357" t="s">
        <v>715</v>
      </c>
      <c r="C357" t="s">
        <v>716</v>
      </c>
      <c r="D357" t="s">
        <v>1111</v>
      </c>
      <c r="E357" t="s">
        <v>916</v>
      </c>
      <c r="F357" t="s">
        <v>1112</v>
      </c>
    </row>
    <row r="358" spans="1:6" x14ac:dyDescent="0.55000000000000004">
      <c r="A358">
        <v>29918</v>
      </c>
      <c r="B358" t="s">
        <v>139</v>
      </c>
      <c r="C358" t="s">
        <v>140</v>
      </c>
      <c r="D358" t="s">
        <v>1161</v>
      </c>
      <c r="E358" t="s">
        <v>916</v>
      </c>
      <c r="F358" t="s">
        <v>1112</v>
      </c>
    </row>
    <row r="359" spans="1:6" x14ac:dyDescent="0.55000000000000004">
      <c r="A359">
        <v>29922</v>
      </c>
      <c r="B359" t="s">
        <v>123</v>
      </c>
      <c r="C359" t="s">
        <v>124</v>
      </c>
      <c r="D359" t="s">
        <v>1162</v>
      </c>
      <c r="E359" t="s">
        <v>1122</v>
      </c>
      <c r="F359" t="s">
        <v>1123</v>
      </c>
    </row>
    <row r="360" spans="1:6" x14ac:dyDescent="0.55000000000000004">
      <c r="A360">
        <v>29926</v>
      </c>
      <c r="B360" t="s">
        <v>101</v>
      </c>
      <c r="C360" t="s">
        <v>102</v>
      </c>
      <c r="D360" t="s">
        <v>1121</v>
      </c>
      <c r="E360" t="s">
        <v>1122</v>
      </c>
      <c r="F360" t="s">
        <v>1123</v>
      </c>
    </row>
    <row r="361" spans="1:6" x14ac:dyDescent="0.55000000000000004">
      <c r="A361">
        <v>29928</v>
      </c>
      <c r="B361" t="s">
        <v>95</v>
      </c>
      <c r="C361" t="s">
        <v>96</v>
      </c>
      <c r="D361" t="s">
        <v>1111</v>
      </c>
      <c r="E361" t="s">
        <v>916</v>
      </c>
      <c r="F361" t="s">
        <v>1112</v>
      </c>
    </row>
    <row r="362" spans="1:6" x14ac:dyDescent="0.55000000000000004">
      <c r="A362">
        <v>29932</v>
      </c>
      <c r="B362" t="s">
        <v>79</v>
      </c>
      <c r="C362" t="s">
        <v>80</v>
      </c>
      <c r="D362" t="s">
        <v>1163</v>
      </c>
      <c r="E362" t="s">
        <v>1122</v>
      </c>
      <c r="F362" t="s">
        <v>1123</v>
      </c>
    </row>
    <row r="363" spans="1:6" x14ac:dyDescent="0.55000000000000004">
      <c r="A363">
        <v>29934</v>
      </c>
      <c r="B363" t="s">
        <v>73</v>
      </c>
      <c r="C363" t="s">
        <v>74</v>
      </c>
      <c r="D363" t="s">
        <v>1118</v>
      </c>
      <c r="E363" t="s">
        <v>1119</v>
      </c>
      <c r="F363" t="s">
        <v>1112</v>
      </c>
    </row>
    <row r="364" spans="1:6" x14ac:dyDescent="0.55000000000000004">
      <c r="A364">
        <v>29939</v>
      </c>
      <c r="B364" t="s">
        <v>251</v>
      </c>
      <c r="C364" t="s">
        <v>252</v>
      </c>
      <c r="D364" t="s">
        <v>1118</v>
      </c>
      <c r="E364" t="s">
        <v>1119</v>
      </c>
      <c r="F364" t="s">
        <v>1112</v>
      </c>
    </row>
    <row r="365" spans="1:6" x14ac:dyDescent="0.55000000000000004">
      <c r="A365">
        <v>29941</v>
      </c>
      <c r="B365" t="s">
        <v>257</v>
      </c>
      <c r="C365" t="s">
        <v>258</v>
      </c>
      <c r="D365" t="s">
        <v>1162</v>
      </c>
      <c r="E365" t="s">
        <v>1122</v>
      </c>
      <c r="F365" t="s">
        <v>1123</v>
      </c>
    </row>
    <row r="366" spans="1:6" x14ac:dyDescent="0.55000000000000004">
      <c r="A366">
        <v>29946</v>
      </c>
      <c r="B366" t="s">
        <v>143</v>
      </c>
      <c r="C366" t="s">
        <v>144</v>
      </c>
      <c r="D366" t="s">
        <v>1111</v>
      </c>
      <c r="E366" t="s">
        <v>916</v>
      </c>
      <c r="F366" t="s">
        <v>1112</v>
      </c>
    </row>
    <row r="367" spans="1:6" x14ac:dyDescent="0.55000000000000004">
      <c r="A367">
        <v>29950</v>
      </c>
      <c r="B367" t="s">
        <v>161</v>
      </c>
      <c r="C367" t="s">
        <v>162</v>
      </c>
      <c r="D367" t="s">
        <v>1111</v>
      </c>
      <c r="E367" t="s">
        <v>916</v>
      </c>
      <c r="F367" t="s">
        <v>1112</v>
      </c>
    </row>
    <row r="368" spans="1:6" x14ac:dyDescent="0.55000000000000004">
      <c r="A368">
        <v>29952</v>
      </c>
      <c r="B368" t="s">
        <v>167</v>
      </c>
      <c r="C368" t="s">
        <v>168</v>
      </c>
      <c r="D368" t="s">
        <v>1139</v>
      </c>
      <c r="E368" t="s">
        <v>1122</v>
      </c>
      <c r="F368" t="s">
        <v>1123</v>
      </c>
    </row>
    <row r="369" spans="1:6" x14ac:dyDescent="0.55000000000000004">
      <c r="A369">
        <v>29959</v>
      </c>
      <c r="B369" t="s">
        <v>55</v>
      </c>
      <c r="C369" t="s">
        <v>56</v>
      </c>
      <c r="D369" t="s">
        <v>1116</v>
      </c>
      <c r="E369" t="s">
        <v>1116</v>
      </c>
      <c r="F369" t="s">
        <v>1112</v>
      </c>
    </row>
    <row r="370" spans="1:6" x14ac:dyDescent="0.55000000000000004">
      <c r="A370">
        <v>29964</v>
      </c>
      <c r="B370" t="s">
        <v>77</v>
      </c>
      <c r="C370" t="s">
        <v>78</v>
      </c>
      <c r="D370" t="s">
        <v>1115</v>
      </c>
      <c r="E370" t="s">
        <v>1116</v>
      </c>
      <c r="F370" t="s">
        <v>1112</v>
      </c>
    </row>
    <row r="371" spans="1:6" x14ac:dyDescent="0.55000000000000004">
      <c r="A371">
        <v>29969</v>
      </c>
      <c r="B371" t="s">
        <v>813</v>
      </c>
      <c r="C371" t="s">
        <v>814</v>
      </c>
      <c r="D371" t="s">
        <v>1111</v>
      </c>
      <c r="E371" t="s">
        <v>916</v>
      </c>
      <c r="F371" t="s">
        <v>1112</v>
      </c>
    </row>
    <row r="372" spans="1:6" x14ac:dyDescent="0.55000000000000004">
      <c r="A372">
        <v>29971</v>
      </c>
      <c r="B372" t="s">
        <v>817</v>
      </c>
      <c r="C372" t="s">
        <v>818</v>
      </c>
      <c r="D372" t="s">
        <v>1111</v>
      </c>
      <c r="E372" t="s">
        <v>916</v>
      </c>
      <c r="F372" t="s">
        <v>1112</v>
      </c>
    </row>
    <row r="373" spans="1:6" x14ac:dyDescent="0.55000000000000004">
      <c r="A373">
        <v>29978</v>
      </c>
      <c r="B373" t="s">
        <v>843</v>
      </c>
      <c r="C373" t="s">
        <v>844</v>
      </c>
      <c r="D373" t="s">
        <v>1121</v>
      </c>
      <c r="E373" t="s">
        <v>1122</v>
      </c>
      <c r="F373" t="s">
        <v>1123</v>
      </c>
    </row>
    <row r="374" spans="1:6" x14ac:dyDescent="0.55000000000000004">
      <c r="A374">
        <v>29980</v>
      </c>
      <c r="B374" t="s">
        <v>849</v>
      </c>
      <c r="C374" t="s">
        <v>850</v>
      </c>
      <c r="D374" t="s">
        <v>1121</v>
      </c>
      <c r="E374" t="s">
        <v>1122</v>
      </c>
      <c r="F374" t="s">
        <v>1123</v>
      </c>
    </row>
    <row r="375" spans="1:6" x14ac:dyDescent="0.55000000000000004">
      <c r="A375">
        <v>29983</v>
      </c>
      <c r="B375" t="s">
        <v>865</v>
      </c>
      <c r="C375" t="s">
        <v>866</v>
      </c>
      <c r="D375" t="s">
        <v>1120</v>
      </c>
      <c r="E375" t="s">
        <v>916</v>
      </c>
      <c r="F375" t="s">
        <v>1112</v>
      </c>
    </row>
    <row r="376" spans="1:6" x14ac:dyDescent="0.55000000000000004">
      <c r="A376">
        <v>29985</v>
      </c>
      <c r="B376" t="s">
        <v>871</v>
      </c>
      <c r="C376" t="s">
        <v>872</v>
      </c>
      <c r="D376" t="s">
        <v>1121</v>
      </c>
      <c r="E376" t="s">
        <v>1122</v>
      </c>
      <c r="F376" t="s">
        <v>1123</v>
      </c>
    </row>
    <row r="377" spans="1:6" x14ac:dyDescent="0.55000000000000004">
      <c r="A377">
        <v>29988</v>
      </c>
      <c r="B377" t="s">
        <v>277</v>
      </c>
      <c r="C377" t="s">
        <v>278</v>
      </c>
      <c r="D377" t="s">
        <v>1111</v>
      </c>
      <c r="E377" t="s">
        <v>916</v>
      </c>
      <c r="F377" t="s">
        <v>1112</v>
      </c>
    </row>
    <row r="378" spans="1:6" x14ac:dyDescent="0.55000000000000004">
      <c r="A378">
        <v>29990</v>
      </c>
      <c r="B378" t="s">
        <v>283</v>
      </c>
      <c r="C378" t="s">
        <v>284</v>
      </c>
      <c r="D378" t="s">
        <v>1164</v>
      </c>
      <c r="E378" t="s">
        <v>1122</v>
      </c>
      <c r="F378" t="s">
        <v>1123</v>
      </c>
    </row>
    <row r="379" spans="1:6" x14ac:dyDescent="0.55000000000000004">
      <c r="A379">
        <v>29994</v>
      </c>
      <c r="B379" t="s">
        <v>301</v>
      </c>
      <c r="C379" t="s">
        <v>302</v>
      </c>
      <c r="D379" t="s">
        <v>1111</v>
      </c>
      <c r="E379" t="s">
        <v>916</v>
      </c>
      <c r="F379" t="s">
        <v>1112</v>
      </c>
    </row>
    <row r="380" spans="1:6" x14ac:dyDescent="0.55000000000000004">
      <c r="A380">
        <v>30000</v>
      </c>
      <c r="B380" t="s">
        <v>323</v>
      </c>
      <c r="C380" t="s">
        <v>324</v>
      </c>
      <c r="D380" t="s">
        <v>1141</v>
      </c>
      <c r="E380" t="s">
        <v>1116</v>
      </c>
      <c r="F380" t="s">
        <v>1112</v>
      </c>
    </row>
    <row r="381" spans="1:6" x14ac:dyDescent="0.55000000000000004">
      <c r="A381">
        <v>30005</v>
      </c>
      <c r="B381" t="s">
        <v>717</v>
      </c>
      <c r="C381" t="s">
        <v>718</v>
      </c>
      <c r="D381" t="s">
        <v>1121</v>
      </c>
      <c r="E381" t="s">
        <v>1122</v>
      </c>
      <c r="F381" t="s">
        <v>1123</v>
      </c>
    </row>
    <row r="382" spans="1:6" x14ac:dyDescent="0.55000000000000004">
      <c r="A382">
        <v>30007</v>
      </c>
      <c r="B382" t="s">
        <v>711</v>
      </c>
      <c r="C382" t="s">
        <v>712</v>
      </c>
      <c r="D382" t="s">
        <v>1116</v>
      </c>
      <c r="E382" t="s">
        <v>1116</v>
      </c>
      <c r="F382" t="s">
        <v>1112</v>
      </c>
    </row>
    <row r="383" spans="1:6" x14ac:dyDescent="0.55000000000000004">
      <c r="A383">
        <v>30010</v>
      </c>
      <c r="B383" t="s">
        <v>693</v>
      </c>
      <c r="C383" t="s">
        <v>694</v>
      </c>
      <c r="D383" t="s">
        <v>1125</v>
      </c>
      <c r="E383" t="s">
        <v>916</v>
      </c>
      <c r="F383" t="s">
        <v>1112</v>
      </c>
    </row>
    <row r="384" spans="1:6" x14ac:dyDescent="0.55000000000000004">
      <c r="A384">
        <v>30016</v>
      </c>
      <c r="B384" t="s">
        <v>675</v>
      </c>
      <c r="C384" t="s">
        <v>676</v>
      </c>
      <c r="D384" t="s">
        <v>1165</v>
      </c>
      <c r="E384" t="s">
        <v>916</v>
      </c>
      <c r="F384" t="s">
        <v>1112</v>
      </c>
    </row>
    <row r="385" spans="1:6" x14ac:dyDescent="0.55000000000000004">
      <c r="A385">
        <v>30019</v>
      </c>
      <c r="B385" t="s">
        <v>421</v>
      </c>
      <c r="C385" t="s">
        <v>422</v>
      </c>
      <c r="D385" t="s">
        <v>1162</v>
      </c>
      <c r="E385" t="s">
        <v>1122</v>
      </c>
      <c r="F385" t="s">
        <v>1123</v>
      </c>
    </row>
    <row r="386" spans="1:6" x14ac:dyDescent="0.55000000000000004">
      <c r="A386">
        <v>30021</v>
      </c>
      <c r="B386" t="s">
        <v>415</v>
      </c>
      <c r="C386" t="s">
        <v>416</v>
      </c>
      <c r="D386" t="s">
        <v>1125</v>
      </c>
      <c r="E386" t="s">
        <v>916</v>
      </c>
      <c r="F386" t="s">
        <v>1112</v>
      </c>
    </row>
    <row r="387" spans="1:6" x14ac:dyDescent="0.55000000000000004">
      <c r="A387">
        <v>30025</v>
      </c>
      <c r="B387" t="s">
        <v>397</v>
      </c>
      <c r="C387" t="s">
        <v>398</v>
      </c>
      <c r="D387" t="s">
        <v>1166</v>
      </c>
      <c r="E387" t="s">
        <v>1122</v>
      </c>
      <c r="F387" t="s">
        <v>1123</v>
      </c>
    </row>
    <row r="388" spans="1:6" x14ac:dyDescent="0.55000000000000004">
      <c r="A388">
        <v>30029</v>
      </c>
      <c r="B388" t="s">
        <v>755</v>
      </c>
      <c r="C388" t="s">
        <v>756</v>
      </c>
      <c r="D388" t="s">
        <v>1115</v>
      </c>
      <c r="E388" t="s">
        <v>1116</v>
      </c>
      <c r="F388" t="s">
        <v>1112</v>
      </c>
    </row>
    <row r="389" spans="1:6" x14ac:dyDescent="0.55000000000000004">
      <c r="A389">
        <v>30030</v>
      </c>
      <c r="B389" t="s">
        <v>761</v>
      </c>
      <c r="C389" t="s">
        <v>762</v>
      </c>
      <c r="D389" t="s">
        <v>1121</v>
      </c>
      <c r="E389" t="s">
        <v>1122</v>
      </c>
      <c r="F389" t="s">
        <v>1123</v>
      </c>
    </row>
    <row r="390" spans="1:6" x14ac:dyDescent="0.55000000000000004">
      <c r="A390">
        <v>30037</v>
      </c>
      <c r="B390" t="s">
        <v>791</v>
      </c>
      <c r="C390" t="s">
        <v>792</v>
      </c>
      <c r="D390" t="s">
        <v>1133</v>
      </c>
      <c r="E390" t="s">
        <v>916</v>
      </c>
      <c r="F390" t="s">
        <v>1112</v>
      </c>
    </row>
    <row r="391" spans="1:6" x14ac:dyDescent="0.55000000000000004">
      <c r="A391">
        <v>30042</v>
      </c>
      <c r="B391" t="s">
        <v>625</v>
      </c>
      <c r="C391" t="s">
        <v>626</v>
      </c>
      <c r="D391" t="s">
        <v>1113</v>
      </c>
      <c r="E391" t="s">
        <v>1114</v>
      </c>
      <c r="F391" t="s">
        <v>1112</v>
      </c>
    </row>
    <row r="392" spans="1:6" x14ac:dyDescent="0.55000000000000004">
      <c r="A392">
        <v>30044</v>
      </c>
      <c r="B392" t="s">
        <v>631</v>
      </c>
      <c r="C392" t="s">
        <v>632</v>
      </c>
      <c r="D392" t="s">
        <v>1167</v>
      </c>
      <c r="E392" t="s">
        <v>1122</v>
      </c>
      <c r="F392" t="s">
        <v>1123</v>
      </c>
    </row>
    <row r="393" spans="1:6" x14ac:dyDescent="0.55000000000000004">
      <c r="A393">
        <v>30048</v>
      </c>
      <c r="B393" t="s">
        <v>647</v>
      </c>
      <c r="C393" t="s">
        <v>648</v>
      </c>
      <c r="D393" t="s">
        <v>1160</v>
      </c>
      <c r="E393" t="s">
        <v>1119</v>
      </c>
      <c r="F393" t="s">
        <v>1112</v>
      </c>
    </row>
    <row r="394" spans="1:6" x14ac:dyDescent="0.55000000000000004">
      <c r="A394">
        <v>30050</v>
      </c>
      <c r="B394" t="s">
        <v>653</v>
      </c>
      <c r="C394" t="s">
        <v>654</v>
      </c>
      <c r="D394" t="s">
        <v>1121</v>
      </c>
      <c r="E394" t="s">
        <v>1122</v>
      </c>
      <c r="F394" t="s">
        <v>1123</v>
      </c>
    </row>
    <row r="395" spans="1:6" x14ac:dyDescent="0.55000000000000004">
      <c r="A395">
        <v>30053</v>
      </c>
      <c r="B395" t="s">
        <v>489</v>
      </c>
      <c r="C395" t="s">
        <v>490</v>
      </c>
      <c r="D395" t="s">
        <v>1165</v>
      </c>
      <c r="E395" t="s">
        <v>916</v>
      </c>
      <c r="F395" t="s">
        <v>1112</v>
      </c>
    </row>
    <row r="396" spans="1:6" x14ac:dyDescent="0.55000000000000004">
      <c r="A396">
        <v>30058</v>
      </c>
      <c r="B396" t="s">
        <v>513</v>
      </c>
      <c r="C396" t="s">
        <v>514</v>
      </c>
      <c r="D396" t="s">
        <v>1168</v>
      </c>
      <c r="E396" t="s">
        <v>916</v>
      </c>
      <c r="F396" t="s">
        <v>1112</v>
      </c>
    </row>
    <row r="397" spans="1:6" x14ac:dyDescent="0.55000000000000004">
      <c r="A397">
        <v>30067</v>
      </c>
      <c r="B397" t="s">
        <v>163</v>
      </c>
      <c r="C397" t="s">
        <v>164</v>
      </c>
      <c r="D397" t="s">
        <v>1169</v>
      </c>
      <c r="E397" t="s">
        <v>1116</v>
      </c>
      <c r="F397" t="s">
        <v>1112</v>
      </c>
    </row>
    <row r="398" spans="1:6" x14ac:dyDescent="0.55000000000000004">
      <c r="A398">
        <v>30072</v>
      </c>
      <c r="B398" t="s">
        <v>145</v>
      </c>
      <c r="C398" t="s">
        <v>146</v>
      </c>
      <c r="D398" t="s">
        <v>1170</v>
      </c>
      <c r="E398" t="s">
        <v>1122</v>
      </c>
      <c r="F398" t="s">
        <v>1123</v>
      </c>
    </row>
    <row r="399" spans="1:6" x14ac:dyDescent="0.55000000000000004">
      <c r="A399">
        <v>30074</v>
      </c>
      <c r="B399" t="s">
        <v>691</v>
      </c>
      <c r="C399" t="s">
        <v>692</v>
      </c>
      <c r="D399" t="s">
        <v>1171</v>
      </c>
      <c r="E399" t="s">
        <v>1116</v>
      </c>
      <c r="F399" t="s">
        <v>1112</v>
      </c>
    </row>
    <row r="400" spans="1:6" x14ac:dyDescent="0.55000000000000004">
      <c r="A400">
        <v>30083</v>
      </c>
      <c r="B400" t="s">
        <v>603</v>
      </c>
      <c r="C400" t="s">
        <v>604</v>
      </c>
      <c r="D400" t="s">
        <v>1125</v>
      </c>
      <c r="E400" t="s">
        <v>916</v>
      </c>
      <c r="F400" t="s">
        <v>1112</v>
      </c>
    </row>
    <row r="401" spans="1:6" x14ac:dyDescent="0.55000000000000004">
      <c r="A401">
        <v>30087</v>
      </c>
      <c r="B401" t="s">
        <v>369</v>
      </c>
      <c r="C401" t="s">
        <v>370</v>
      </c>
      <c r="D401" t="s">
        <v>1172</v>
      </c>
      <c r="E401" t="s">
        <v>1116</v>
      </c>
      <c r="F401" t="s">
        <v>1112</v>
      </c>
    </row>
    <row r="402" spans="1:6" x14ac:dyDescent="0.55000000000000004">
      <c r="A402">
        <v>30093</v>
      </c>
      <c r="B402" t="s">
        <v>347</v>
      </c>
      <c r="C402" t="s">
        <v>348</v>
      </c>
      <c r="D402" t="s">
        <v>1111</v>
      </c>
      <c r="E402" t="s">
        <v>916</v>
      </c>
      <c r="F402" t="s">
        <v>1112</v>
      </c>
    </row>
    <row r="403" spans="1:6" x14ac:dyDescent="0.55000000000000004">
      <c r="A403">
        <v>30098</v>
      </c>
      <c r="B403" t="s">
        <v>325</v>
      </c>
      <c r="C403" t="s">
        <v>326</v>
      </c>
      <c r="D403" t="s">
        <v>1115</v>
      </c>
      <c r="E403" t="s">
        <v>1116</v>
      </c>
      <c r="F403" t="s">
        <v>1112</v>
      </c>
    </row>
    <row r="404" spans="1:6" x14ac:dyDescent="0.55000000000000004">
      <c r="A404">
        <v>30102</v>
      </c>
      <c r="B404" t="s">
        <v>815</v>
      </c>
      <c r="C404" t="s">
        <v>816</v>
      </c>
      <c r="D404" t="s">
        <v>1173</v>
      </c>
      <c r="E404" t="s">
        <v>1122</v>
      </c>
      <c r="F404" t="s">
        <v>1123</v>
      </c>
    </row>
    <row r="405" spans="1:6" x14ac:dyDescent="0.55000000000000004">
      <c r="A405">
        <v>30104</v>
      </c>
      <c r="B405" t="s">
        <v>819</v>
      </c>
      <c r="C405" t="s">
        <v>820</v>
      </c>
      <c r="D405" t="s">
        <v>1121</v>
      </c>
      <c r="E405" t="s">
        <v>1122</v>
      </c>
      <c r="F405" t="s">
        <v>1123</v>
      </c>
    </row>
    <row r="406" spans="1:6" x14ac:dyDescent="0.55000000000000004">
      <c r="A406">
        <v>30108</v>
      </c>
      <c r="B406" t="s">
        <v>837</v>
      </c>
      <c r="C406" t="s">
        <v>838</v>
      </c>
      <c r="D406" t="s">
        <v>1111</v>
      </c>
      <c r="E406" t="s">
        <v>916</v>
      </c>
      <c r="F406" t="s">
        <v>1112</v>
      </c>
    </row>
    <row r="407" spans="1:6" x14ac:dyDescent="0.55000000000000004">
      <c r="A407">
        <v>30113</v>
      </c>
      <c r="B407" t="s">
        <v>445</v>
      </c>
      <c r="C407" t="s">
        <v>446</v>
      </c>
      <c r="D407" t="s">
        <v>1174</v>
      </c>
      <c r="E407" t="s">
        <v>1122</v>
      </c>
      <c r="F407" t="s">
        <v>1123</v>
      </c>
    </row>
    <row r="408" spans="1:6" x14ac:dyDescent="0.55000000000000004">
      <c r="A408">
        <v>30115</v>
      </c>
      <c r="B408" t="s">
        <v>439</v>
      </c>
      <c r="C408" t="s">
        <v>440</v>
      </c>
      <c r="D408" t="s">
        <v>1168</v>
      </c>
      <c r="E408" t="s">
        <v>916</v>
      </c>
      <c r="F408" t="s">
        <v>1112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11139-9A10-44FC-8A5B-7A5FD8B395D8}">
  <dimension ref="A1:F848"/>
  <sheetViews>
    <sheetView topLeftCell="A57" workbookViewId="0">
      <selection activeCell="C71" sqref="A2:F848"/>
    </sheetView>
  </sheetViews>
  <sheetFormatPr defaultRowHeight="14.4" x14ac:dyDescent="0.55000000000000004"/>
  <cols>
    <col min="1" max="1" width="12.5234375" bestFit="1" customWidth="1"/>
    <col min="2" max="2" width="27" bestFit="1" customWidth="1"/>
    <col min="3" max="3" width="40.3671875" bestFit="1" customWidth="1"/>
    <col min="4" max="4" width="15.15625" bestFit="1" customWidth="1"/>
    <col min="5" max="5" width="14.15625" bestFit="1" customWidth="1"/>
    <col min="6" max="6" width="15.1015625" bestFit="1" customWidth="1"/>
  </cols>
  <sheetData>
    <row r="1" spans="1:6" x14ac:dyDescent="0.55000000000000004">
      <c r="A1" t="s">
        <v>2</v>
      </c>
      <c r="B1" t="s">
        <v>8</v>
      </c>
      <c r="C1" t="s">
        <v>9</v>
      </c>
      <c r="D1" t="s">
        <v>10</v>
      </c>
      <c r="E1" t="s">
        <v>11</v>
      </c>
      <c r="F1" t="s">
        <v>12</v>
      </c>
    </row>
    <row r="2" spans="1:6" x14ac:dyDescent="0.55000000000000004">
      <c r="A2">
        <v>1</v>
      </c>
      <c r="B2" t="s">
        <v>13</v>
      </c>
      <c r="C2" t="s">
        <v>14</v>
      </c>
    </row>
    <row r="3" spans="1:6" x14ac:dyDescent="0.55000000000000004">
      <c r="A3">
        <v>2</v>
      </c>
      <c r="B3" t="s">
        <v>15</v>
      </c>
      <c r="C3" t="s">
        <v>16</v>
      </c>
    </row>
    <row r="4" spans="1:6" x14ac:dyDescent="0.55000000000000004">
      <c r="A4">
        <v>3</v>
      </c>
      <c r="B4" t="s">
        <v>17</v>
      </c>
      <c r="C4" t="s">
        <v>18</v>
      </c>
    </row>
    <row r="5" spans="1:6" x14ac:dyDescent="0.55000000000000004">
      <c r="A5">
        <v>4</v>
      </c>
      <c r="B5" t="s">
        <v>19</v>
      </c>
      <c r="C5" t="s">
        <v>20</v>
      </c>
    </row>
    <row r="6" spans="1:6" x14ac:dyDescent="0.55000000000000004">
      <c r="A6">
        <v>5</v>
      </c>
      <c r="B6" t="s">
        <v>21</v>
      </c>
      <c r="C6" t="s">
        <v>22</v>
      </c>
    </row>
    <row r="7" spans="1:6" x14ac:dyDescent="0.55000000000000004">
      <c r="A7">
        <v>6</v>
      </c>
      <c r="B7" t="s">
        <v>23</v>
      </c>
      <c r="C7" t="s">
        <v>24</v>
      </c>
    </row>
    <row r="8" spans="1:6" x14ac:dyDescent="0.55000000000000004">
      <c r="A8">
        <v>7</v>
      </c>
      <c r="B8" t="s">
        <v>25</v>
      </c>
      <c r="C8" t="s">
        <v>26</v>
      </c>
    </row>
    <row r="9" spans="1:6" x14ac:dyDescent="0.55000000000000004">
      <c r="A9">
        <v>10</v>
      </c>
      <c r="B9" t="s">
        <v>27</v>
      </c>
      <c r="C9" t="s">
        <v>28</v>
      </c>
    </row>
    <row r="10" spans="1:6" x14ac:dyDescent="0.55000000000000004">
      <c r="A10">
        <v>11</v>
      </c>
      <c r="B10" t="s">
        <v>29</v>
      </c>
      <c r="C10" t="s">
        <v>30</v>
      </c>
    </row>
    <row r="11" spans="1:6" x14ac:dyDescent="0.55000000000000004">
      <c r="A11">
        <v>12</v>
      </c>
      <c r="B11" t="s">
        <v>31</v>
      </c>
      <c r="C11" t="s">
        <v>32</v>
      </c>
    </row>
    <row r="12" spans="1:6" x14ac:dyDescent="0.55000000000000004">
      <c r="A12">
        <v>16</v>
      </c>
      <c r="B12" t="s">
        <v>33</v>
      </c>
      <c r="C12" t="s">
        <v>34</v>
      </c>
    </row>
    <row r="13" spans="1:6" x14ac:dyDescent="0.55000000000000004">
      <c r="A13">
        <v>18</v>
      </c>
      <c r="B13" t="s">
        <v>35</v>
      </c>
      <c r="C13" t="s">
        <v>36</v>
      </c>
    </row>
    <row r="14" spans="1:6" x14ac:dyDescent="0.55000000000000004">
      <c r="A14">
        <v>19</v>
      </c>
      <c r="B14" t="s">
        <v>37</v>
      </c>
      <c r="C14" t="s">
        <v>38</v>
      </c>
    </row>
    <row r="15" spans="1:6" x14ac:dyDescent="0.55000000000000004">
      <c r="A15">
        <v>20</v>
      </c>
      <c r="B15" t="s">
        <v>39</v>
      </c>
      <c r="C15" t="s">
        <v>40</v>
      </c>
    </row>
    <row r="16" spans="1:6" x14ac:dyDescent="0.55000000000000004">
      <c r="A16">
        <v>21</v>
      </c>
      <c r="B16" t="s">
        <v>41</v>
      </c>
      <c r="C16" t="s">
        <v>42</v>
      </c>
    </row>
    <row r="17" spans="1:3" x14ac:dyDescent="0.55000000000000004">
      <c r="A17">
        <v>22</v>
      </c>
      <c r="B17" t="s">
        <v>43</v>
      </c>
      <c r="C17" t="s">
        <v>44</v>
      </c>
    </row>
    <row r="18" spans="1:3" x14ac:dyDescent="0.55000000000000004">
      <c r="A18">
        <v>23</v>
      </c>
      <c r="B18" t="s">
        <v>45</v>
      </c>
      <c r="C18" t="s">
        <v>46</v>
      </c>
    </row>
    <row r="19" spans="1:3" x14ac:dyDescent="0.55000000000000004">
      <c r="A19">
        <v>24</v>
      </c>
      <c r="B19" t="s">
        <v>47</v>
      </c>
      <c r="C19" t="s">
        <v>48</v>
      </c>
    </row>
    <row r="20" spans="1:3" x14ac:dyDescent="0.55000000000000004">
      <c r="A20">
        <v>25</v>
      </c>
      <c r="B20" t="s">
        <v>49</v>
      </c>
      <c r="C20" t="s">
        <v>50</v>
      </c>
    </row>
    <row r="21" spans="1:3" x14ac:dyDescent="0.55000000000000004">
      <c r="A21">
        <v>28</v>
      </c>
      <c r="B21" t="s">
        <v>51</v>
      </c>
      <c r="C21" t="s">
        <v>52</v>
      </c>
    </row>
    <row r="22" spans="1:3" x14ac:dyDescent="0.55000000000000004">
      <c r="A22">
        <v>29</v>
      </c>
      <c r="B22" t="s">
        <v>53</v>
      </c>
      <c r="C22" t="s">
        <v>54</v>
      </c>
    </row>
    <row r="23" spans="1:3" x14ac:dyDescent="0.55000000000000004">
      <c r="A23">
        <v>30</v>
      </c>
      <c r="B23" t="s">
        <v>55</v>
      </c>
      <c r="C23" t="s">
        <v>56</v>
      </c>
    </row>
    <row r="24" spans="1:3" x14ac:dyDescent="0.55000000000000004">
      <c r="A24">
        <v>34</v>
      </c>
      <c r="B24" t="s">
        <v>57</v>
      </c>
      <c r="C24" t="s">
        <v>58</v>
      </c>
    </row>
    <row r="25" spans="1:3" x14ac:dyDescent="0.55000000000000004">
      <c r="A25">
        <v>37</v>
      </c>
      <c r="B25" t="s">
        <v>59</v>
      </c>
      <c r="C25" t="s">
        <v>60</v>
      </c>
    </row>
    <row r="26" spans="1:3" x14ac:dyDescent="0.55000000000000004">
      <c r="A26">
        <v>38</v>
      </c>
      <c r="B26" t="s">
        <v>61</v>
      </c>
      <c r="C26" t="s">
        <v>62</v>
      </c>
    </row>
    <row r="27" spans="1:3" x14ac:dyDescent="0.55000000000000004">
      <c r="A27">
        <v>39</v>
      </c>
      <c r="B27" t="s">
        <v>63</v>
      </c>
      <c r="C27" t="s">
        <v>64</v>
      </c>
    </row>
    <row r="28" spans="1:3" x14ac:dyDescent="0.55000000000000004">
      <c r="A28">
        <v>40</v>
      </c>
      <c r="B28" t="s">
        <v>65</v>
      </c>
      <c r="C28" t="s">
        <v>66</v>
      </c>
    </row>
    <row r="29" spans="1:3" x14ac:dyDescent="0.55000000000000004">
      <c r="A29">
        <v>41</v>
      </c>
      <c r="B29" t="s">
        <v>67</v>
      </c>
      <c r="C29" t="s">
        <v>68</v>
      </c>
    </row>
    <row r="30" spans="1:3" x14ac:dyDescent="0.55000000000000004">
      <c r="A30">
        <v>42</v>
      </c>
      <c r="B30" t="s">
        <v>69</v>
      </c>
      <c r="C30" t="s">
        <v>70</v>
      </c>
    </row>
    <row r="31" spans="1:3" x14ac:dyDescent="0.55000000000000004">
      <c r="A31">
        <v>43</v>
      </c>
      <c r="B31" t="s">
        <v>71</v>
      </c>
      <c r="C31" t="s">
        <v>72</v>
      </c>
    </row>
    <row r="32" spans="1:3" x14ac:dyDescent="0.55000000000000004">
      <c r="A32">
        <v>46</v>
      </c>
      <c r="B32" t="s">
        <v>73</v>
      </c>
      <c r="C32" t="s">
        <v>74</v>
      </c>
    </row>
    <row r="33" spans="1:3" x14ac:dyDescent="0.55000000000000004">
      <c r="A33">
        <v>47</v>
      </c>
      <c r="B33" t="s">
        <v>75</v>
      </c>
      <c r="C33" t="s">
        <v>76</v>
      </c>
    </row>
    <row r="34" spans="1:3" x14ac:dyDescent="0.55000000000000004">
      <c r="A34">
        <v>48</v>
      </c>
      <c r="B34" t="s">
        <v>77</v>
      </c>
      <c r="C34" t="s">
        <v>78</v>
      </c>
    </row>
    <row r="35" spans="1:3" x14ac:dyDescent="0.55000000000000004">
      <c r="A35">
        <v>52</v>
      </c>
      <c r="B35" t="s">
        <v>79</v>
      </c>
      <c r="C35" t="s">
        <v>80</v>
      </c>
    </row>
    <row r="36" spans="1:3" x14ac:dyDescent="0.55000000000000004">
      <c r="A36">
        <v>55</v>
      </c>
      <c r="B36" t="s">
        <v>81</v>
      </c>
      <c r="C36" t="s">
        <v>82</v>
      </c>
    </row>
    <row r="37" spans="1:3" x14ac:dyDescent="0.55000000000000004">
      <c r="A37">
        <v>56</v>
      </c>
      <c r="B37" t="s">
        <v>83</v>
      </c>
      <c r="C37" t="s">
        <v>84</v>
      </c>
    </row>
    <row r="38" spans="1:3" x14ac:dyDescent="0.55000000000000004">
      <c r="A38">
        <v>57</v>
      </c>
      <c r="B38" t="s">
        <v>85</v>
      </c>
      <c r="C38" t="s">
        <v>86</v>
      </c>
    </row>
    <row r="39" spans="1:3" x14ac:dyDescent="0.55000000000000004">
      <c r="A39">
        <v>58</v>
      </c>
      <c r="B39" t="s">
        <v>87</v>
      </c>
      <c r="C39" t="s">
        <v>88</v>
      </c>
    </row>
    <row r="40" spans="1:3" x14ac:dyDescent="0.55000000000000004">
      <c r="A40">
        <v>59</v>
      </c>
      <c r="B40" t="s">
        <v>89</v>
      </c>
      <c r="C40" t="s">
        <v>90</v>
      </c>
    </row>
    <row r="41" spans="1:3" x14ac:dyDescent="0.55000000000000004">
      <c r="A41">
        <v>60</v>
      </c>
      <c r="B41" t="s">
        <v>91</v>
      </c>
      <c r="C41" t="s">
        <v>92</v>
      </c>
    </row>
    <row r="42" spans="1:3" x14ac:dyDescent="0.55000000000000004">
      <c r="A42">
        <v>61</v>
      </c>
      <c r="B42" t="s">
        <v>93</v>
      </c>
      <c r="C42" t="s">
        <v>94</v>
      </c>
    </row>
    <row r="43" spans="1:3" x14ac:dyDescent="0.55000000000000004">
      <c r="A43">
        <v>64</v>
      </c>
      <c r="B43" t="s">
        <v>95</v>
      </c>
      <c r="C43" t="s">
        <v>96</v>
      </c>
    </row>
    <row r="44" spans="1:3" x14ac:dyDescent="0.55000000000000004">
      <c r="A44">
        <v>65</v>
      </c>
      <c r="B44" t="s">
        <v>97</v>
      </c>
      <c r="C44" t="s">
        <v>98</v>
      </c>
    </row>
    <row r="45" spans="1:3" x14ac:dyDescent="0.55000000000000004">
      <c r="A45">
        <v>66</v>
      </c>
      <c r="B45" t="s">
        <v>99</v>
      </c>
      <c r="C45" t="s">
        <v>100</v>
      </c>
    </row>
    <row r="46" spans="1:3" x14ac:dyDescent="0.55000000000000004">
      <c r="A46">
        <v>70</v>
      </c>
      <c r="B46" t="s">
        <v>101</v>
      </c>
      <c r="C46" t="s">
        <v>102</v>
      </c>
    </row>
    <row r="47" spans="1:3" x14ac:dyDescent="0.55000000000000004">
      <c r="A47">
        <v>73</v>
      </c>
      <c r="B47" t="s">
        <v>103</v>
      </c>
      <c r="C47" t="s">
        <v>104</v>
      </c>
    </row>
    <row r="48" spans="1:3" x14ac:dyDescent="0.55000000000000004">
      <c r="A48">
        <v>74</v>
      </c>
      <c r="B48" t="s">
        <v>105</v>
      </c>
      <c r="C48" t="s">
        <v>106</v>
      </c>
    </row>
    <row r="49" spans="1:3" x14ac:dyDescent="0.55000000000000004">
      <c r="A49">
        <v>75</v>
      </c>
      <c r="B49" t="s">
        <v>107</v>
      </c>
      <c r="C49" t="s">
        <v>108</v>
      </c>
    </row>
    <row r="50" spans="1:3" x14ac:dyDescent="0.55000000000000004">
      <c r="A50">
        <v>76</v>
      </c>
      <c r="B50" t="s">
        <v>109</v>
      </c>
      <c r="C50" t="s">
        <v>110</v>
      </c>
    </row>
    <row r="51" spans="1:3" x14ac:dyDescent="0.55000000000000004">
      <c r="A51">
        <v>77</v>
      </c>
      <c r="B51" t="s">
        <v>111</v>
      </c>
      <c r="C51" t="s">
        <v>112</v>
      </c>
    </row>
    <row r="52" spans="1:3" x14ac:dyDescent="0.55000000000000004">
      <c r="A52">
        <v>78</v>
      </c>
      <c r="B52" t="s">
        <v>113</v>
      </c>
      <c r="C52" t="s">
        <v>114</v>
      </c>
    </row>
    <row r="53" spans="1:3" x14ac:dyDescent="0.55000000000000004">
      <c r="A53">
        <v>79</v>
      </c>
      <c r="B53" t="s">
        <v>115</v>
      </c>
      <c r="C53" t="s">
        <v>116</v>
      </c>
    </row>
    <row r="54" spans="1:3" x14ac:dyDescent="0.55000000000000004">
      <c r="A54">
        <v>82</v>
      </c>
      <c r="B54" t="s">
        <v>117</v>
      </c>
      <c r="C54" t="s">
        <v>118</v>
      </c>
    </row>
    <row r="55" spans="1:3" x14ac:dyDescent="0.55000000000000004">
      <c r="A55">
        <v>83</v>
      </c>
      <c r="B55" t="s">
        <v>119</v>
      </c>
      <c r="C55" t="s">
        <v>120</v>
      </c>
    </row>
    <row r="56" spans="1:3" x14ac:dyDescent="0.55000000000000004">
      <c r="A56">
        <v>84</v>
      </c>
      <c r="B56" t="s">
        <v>121</v>
      </c>
      <c r="C56" t="s">
        <v>122</v>
      </c>
    </row>
    <row r="57" spans="1:3" x14ac:dyDescent="0.55000000000000004">
      <c r="A57">
        <v>88</v>
      </c>
      <c r="B57" t="s">
        <v>123</v>
      </c>
      <c r="C57" t="s">
        <v>124</v>
      </c>
    </row>
    <row r="58" spans="1:3" x14ac:dyDescent="0.55000000000000004">
      <c r="A58">
        <v>91</v>
      </c>
      <c r="B58" t="s">
        <v>125</v>
      </c>
      <c r="C58" t="s">
        <v>126</v>
      </c>
    </row>
    <row r="59" spans="1:3" x14ac:dyDescent="0.55000000000000004">
      <c r="A59">
        <v>92</v>
      </c>
      <c r="B59" t="s">
        <v>127</v>
      </c>
      <c r="C59" t="s">
        <v>128</v>
      </c>
    </row>
    <row r="60" spans="1:3" x14ac:dyDescent="0.55000000000000004">
      <c r="A60">
        <v>93</v>
      </c>
      <c r="B60" t="s">
        <v>129</v>
      </c>
      <c r="C60" t="s">
        <v>130</v>
      </c>
    </row>
    <row r="61" spans="1:3" x14ac:dyDescent="0.55000000000000004">
      <c r="A61">
        <v>94</v>
      </c>
      <c r="B61" t="s">
        <v>131</v>
      </c>
      <c r="C61" t="s">
        <v>132</v>
      </c>
    </row>
    <row r="62" spans="1:3" x14ac:dyDescent="0.55000000000000004">
      <c r="A62">
        <v>95</v>
      </c>
      <c r="B62" t="s">
        <v>133</v>
      </c>
      <c r="C62" t="s">
        <v>134</v>
      </c>
    </row>
    <row r="63" spans="1:3" x14ac:dyDescent="0.55000000000000004">
      <c r="A63">
        <v>96</v>
      </c>
      <c r="B63" t="s">
        <v>135</v>
      </c>
      <c r="C63" t="s">
        <v>136</v>
      </c>
    </row>
    <row r="64" spans="1:3" x14ac:dyDescent="0.55000000000000004">
      <c r="A64">
        <v>97</v>
      </c>
      <c r="B64" t="s">
        <v>137</v>
      </c>
      <c r="C64" t="s">
        <v>138</v>
      </c>
    </row>
    <row r="65" spans="1:3" x14ac:dyDescent="0.55000000000000004">
      <c r="A65">
        <v>100</v>
      </c>
      <c r="B65" t="s">
        <v>139</v>
      </c>
      <c r="C65" t="s">
        <v>140</v>
      </c>
    </row>
    <row r="66" spans="1:3" x14ac:dyDescent="0.55000000000000004">
      <c r="A66">
        <v>101</v>
      </c>
      <c r="B66" t="s">
        <v>141</v>
      </c>
      <c r="C66" t="s">
        <v>142</v>
      </c>
    </row>
    <row r="67" spans="1:3" x14ac:dyDescent="0.55000000000000004">
      <c r="A67">
        <v>102</v>
      </c>
      <c r="B67" t="s">
        <v>143</v>
      </c>
      <c r="C67" t="s">
        <v>144</v>
      </c>
    </row>
    <row r="68" spans="1:3" x14ac:dyDescent="0.55000000000000004">
      <c r="A68">
        <v>106</v>
      </c>
      <c r="B68" t="s">
        <v>145</v>
      </c>
      <c r="C68" t="s">
        <v>146</v>
      </c>
    </row>
    <row r="69" spans="1:3" x14ac:dyDescent="0.55000000000000004">
      <c r="A69">
        <v>109</v>
      </c>
      <c r="B69" t="s">
        <v>147</v>
      </c>
      <c r="C69" t="s">
        <v>148</v>
      </c>
    </row>
    <row r="70" spans="1:3" x14ac:dyDescent="0.55000000000000004">
      <c r="A70">
        <v>110</v>
      </c>
      <c r="B70" t="s">
        <v>149</v>
      </c>
      <c r="C70" t="s">
        <v>150</v>
      </c>
    </row>
    <row r="71" spans="1:3" x14ac:dyDescent="0.55000000000000004">
      <c r="A71">
        <v>111</v>
      </c>
      <c r="B71" t="s">
        <v>151</v>
      </c>
      <c r="C71" t="s">
        <v>152</v>
      </c>
    </row>
    <row r="72" spans="1:3" x14ac:dyDescent="0.55000000000000004">
      <c r="A72">
        <v>112</v>
      </c>
      <c r="B72" t="s">
        <v>153</v>
      </c>
      <c r="C72" t="s">
        <v>154</v>
      </c>
    </row>
    <row r="73" spans="1:3" x14ac:dyDescent="0.55000000000000004">
      <c r="A73">
        <v>113</v>
      </c>
      <c r="B73" t="s">
        <v>155</v>
      </c>
      <c r="C73" t="s">
        <v>156</v>
      </c>
    </row>
    <row r="74" spans="1:3" x14ac:dyDescent="0.55000000000000004">
      <c r="A74">
        <v>114</v>
      </c>
      <c r="B74" t="s">
        <v>157</v>
      </c>
      <c r="C74" t="s">
        <v>158</v>
      </c>
    </row>
    <row r="75" spans="1:3" x14ac:dyDescent="0.55000000000000004">
      <c r="A75">
        <v>115</v>
      </c>
      <c r="B75" t="s">
        <v>159</v>
      </c>
      <c r="C75" t="s">
        <v>160</v>
      </c>
    </row>
    <row r="76" spans="1:3" x14ac:dyDescent="0.55000000000000004">
      <c r="A76">
        <v>118</v>
      </c>
      <c r="B76" t="s">
        <v>161</v>
      </c>
      <c r="C76" t="s">
        <v>162</v>
      </c>
    </row>
    <row r="77" spans="1:3" x14ac:dyDescent="0.55000000000000004">
      <c r="A77">
        <v>119</v>
      </c>
      <c r="B77" t="s">
        <v>163</v>
      </c>
      <c r="C77" t="s">
        <v>164</v>
      </c>
    </row>
    <row r="78" spans="1:3" x14ac:dyDescent="0.55000000000000004">
      <c r="A78">
        <v>120</v>
      </c>
      <c r="B78" t="s">
        <v>165</v>
      </c>
      <c r="C78" t="s">
        <v>166</v>
      </c>
    </row>
    <row r="79" spans="1:3" x14ac:dyDescent="0.55000000000000004">
      <c r="A79">
        <v>124</v>
      </c>
      <c r="B79" t="s">
        <v>167</v>
      </c>
      <c r="C79" t="s">
        <v>168</v>
      </c>
    </row>
    <row r="80" spans="1:3" x14ac:dyDescent="0.55000000000000004">
      <c r="A80">
        <v>127</v>
      </c>
      <c r="B80" t="s">
        <v>169</v>
      </c>
      <c r="C80" t="s">
        <v>170</v>
      </c>
    </row>
    <row r="81" spans="1:3" x14ac:dyDescent="0.55000000000000004">
      <c r="A81">
        <v>128</v>
      </c>
      <c r="B81" t="s">
        <v>171</v>
      </c>
      <c r="C81" t="s">
        <v>172</v>
      </c>
    </row>
    <row r="82" spans="1:3" x14ac:dyDescent="0.55000000000000004">
      <c r="A82">
        <v>129</v>
      </c>
      <c r="B82" t="s">
        <v>173</v>
      </c>
      <c r="C82" t="s">
        <v>174</v>
      </c>
    </row>
    <row r="83" spans="1:3" x14ac:dyDescent="0.55000000000000004">
      <c r="A83">
        <v>130</v>
      </c>
      <c r="B83" t="s">
        <v>175</v>
      </c>
      <c r="C83" t="s">
        <v>176</v>
      </c>
    </row>
    <row r="84" spans="1:3" x14ac:dyDescent="0.55000000000000004">
      <c r="A84">
        <v>131</v>
      </c>
      <c r="B84" t="s">
        <v>177</v>
      </c>
      <c r="C84" t="s">
        <v>178</v>
      </c>
    </row>
    <row r="85" spans="1:3" x14ac:dyDescent="0.55000000000000004">
      <c r="A85">
        <v>132</v>
      </c>
      <c r="B85" t="s">
        <v>179</v>
      </c>
      <c r="C85" t="s">
        <v>180</v>
      </c>
    </row>
    <row r="86" spans="1:3" x14ac:dyDescent="0.55000000000000004">
      <c r="A86">
        <v>133</v>
      </c>
      <c r="B86" t="s">
        <v>181</v>
      </c>
      <c r="C86" t="s">
        <v>182</v>
      </c>
    </row>
    <row r="87" spans="1:3" x14ac:dyDescent="0.55000000000000004">
      <c r="A87">
        <v>136</v>
      </c>
      <c r="B87" t="s">
        <v>183</v>
      </c>
      <c r="C87" t="s">
        <v>184</v>
      </c>
    </row>
    <row r="88" spans="1:3" x14ac:dyDescent="0.55000000000000004">
      <c r="A88">
        <v>137</v>
      </c>
      <c r="B88" t="s">
        <v>185</v>
      </c>
      <c r="C88" t="s">
        <v>186</v>
      </c>
    </row>
    <row r="89" spans="1:3" x14ac:dyDescent="0.55000000000000004">
      <c r="A89">
        <v>138</v>
      </c>
      <c r="B89" t="s">
        <v>187</v>
      </c>
      <c r="C89" t="s">
        <v>188</v>
      </c>
    </row>
    <row r="90" spans="1:3" x14ac:dyDescent="0.55000000000000004">
      <c r="A90">
        <v>142</v>
      </c>
      <c r="B90" t="s">
        <v>189</v>
      </c>
      <c r="C90" t="s">
        <v>190</v>
      </c>
    </row>
    <row r="91" spans="1:3" x14ac:dyDescent="0.55000000000000004">
      <c r="A91">
        <v>145</v>
      </c>
      <c r="B91" t="s">
        <v>191</v>
      </c>
      <c r="C91" t="s">
        <v>192</v>
      </c>
    </row>
    <row r="92" spans="1:3" x14ac:dyDescent="0.55000000000000004">
      <c r="A92">
        <v>146</v>
      </c>
      <c r="B92" t="s">
        <v>193</v>
      </c>
      <c r="C92" t="s">
        <v>194</v>
      </c>
    </row>
    <row r="93" spans="1:3" x14ac:dyDescent="0.55000000000000004">
      <c r="A93">
        <v>147</v>
      </c>
      <c r="B93" t="s">
        <v>195</v>
      </c>
      <c r="C93" t="s">
        <v>196</v>
      </c>
    </row>
    <row r="94" spans="1:3" x14ac:dyDescent="0.55000000000000004">
      <c r="A94">
        <v>148</v>
      </c>
      <c r="B94" t="s">
        <v>197</v>
      </c>
      <c r="C94" t="s">
        <v>198</v>
      </c>
    </row>
    <row r="95" spans="1:3" x14ac:dyDescent="0.55000000000000004">
      <c r="A95">
        <v>149</v>
      </c>
      <c r="B95" t="s">
        <v>199</v>
      </c>
      <c r="C95" t="s">
        <v>200</v>
      </c>
    </row>
    <row r="96" spans="1:3" x14ac:dyDescent="0.55000000000000004">
      <c r="A96">
        <v>150</v>
      </c>
      <c r="B96" t="s">
        <v>201</v>
      </c>
      <c r="C96" t="s">
        <v>202</v>
      </c>
    </row>
    <row r="97" spans="1:3" x14ac:dyDescent="0.55000000000000004">
      <c r="A97">
        <v>151</v>
      </c>
      <c r="B97" t="s">
        <v>203</v>
      </c>
      <c r="C97" t="s">
        <v>204</v>
      </c>
    </row>
    <row r="98" spans="1:3" x14ac:dyDescent="0.55000000000000004">
      <c r="A98">
        <v>154</v>
      </c>
      <c r="B98" t="s">
        <v>205</v>
      </c>
      <c r="C98" t="s">
        <v>206</v>
      </c>
    </row>
    <row r="99" spans="1:3" x14ac:dyDescent="0.55000000000000004">
      <c r="A99">
        <v>155</v>
      </c>
      <c r="B99" t="s">
        <v>207</v>
      </c>
      <c r="C99" t="s">
        <v>208</v>
      </c>
    </row>
    <row r="100" spans="1:3" x14ac:dyDescent="0.55000000000000004">
      <c r="A100">
        <v>156</v>
      </c>
      <c r="B100" t="s">
        <v>209</v>
      </c>
      <c r="C100" t="s">
        <v>210</v>
      </c>
    </row>
    <row r="101" spans="1:3" x14ac:dyDescent="0.55000000000000004">
      <c r="A101">
        <v>160</v>
      </c>
      <c r="B101" t="s">
        <v>211</v>
      </c>
      <c r="C101" t="s">
        <v>212</v>
      </c>
    </row>
    <row r="102" spans="1:3" x14ac:dyDescent="0.55000000000000004">
      <c r="A102">
        <v>163</v>
      </c>
      <c r="B102" t="s">
        <v>213</v>
      </c>
      <c r="C102" t="s">
        <v>214</v>
      </c>
    </row>
    <row r="103" spans="1:3" x14ac:dyDescent="0.55000000000000004">
      <c r="A103">
        <v>164</v>
      </c>
      <c r="B103" t="s">
        <v>215</v>
      </c>
      <c r="C103" t="s">
        <v>216</v>
      </c>
    </row>
    <row r="104" spans="1:3" x14ac:dyDescent="0.55000000000000004">
      <c r="A104">
        <v>165</v>
      </c>
      <c r="B104" t="s">
        <v>217</v>
      </c>
      <c r="C104" t="s">
        <v>218</v>
      </c>
    </row>
    <row r="105" spans="1:3" x14ac:dyDescent="0.55000000000000004">
      <c r="A105">
        <v>166</v>
      </c>
      <c r="B105" t="s">
        <v>219</v>
      </c>
      <c r="C105" t="s">
        <v>220</v>
      </c>
    </row>
    <row r="106" spans="1:3" x14ac:dyDescent="0.55000000000000004">
      <c r="A106">
        <v>167</v>
      </c>
      <c r="B106" t="s">
        <v>221</v>
      </c>
      <c r="C106" t="s">
        <v>222</v>
      </c>
    </row>
    <row r="107" spans="1:3" x14ac:dyDescent="0.55000000000000004">
      <c r="A107">
        <v>168</v>
      </c>
      <c r="B107" t="s">
        <v>223</v>
      </c>
      <c r="C107" t="s">
        <v>224</v>
      </c>
    </row>
    <row r="108" spans="1:3" x14ac:dyDescent="0.55000000000000004">
      <c r="A108">
        <v>169</v>
      </c>
      <c r="B108" t="s">
        <v>225</v>
      </c>
      <c r="C108" t="s">
        <v>226</v>
      </c>
    </row>
    <row r="109" spans="1:3" x14ac:dyDescent="0.55000000000000004">
      <c r="A109">
        <v>172</v>
      </c>
      <c r="B109" t="s">
        <v>227</v>
      </c>
      <c r="C109" t="s">
        <v>228</v>
      </c>
    </row>
    <row r="110" spans="1:3" x14ac:dyDescent="0.55000000000000004">
      <c r="A110">
        <v>173</v>
      </c>
      <c r="B110" t="s">
        <v>229</v>
      </c>
      <c r="C110" t="s">
        <v>230</v>
      </c>
    </row>
    <row r="111" spans="1:3" x14ac:dyDescent="0.55000000000000004">
      <c r="A111">
        <v>174</v>
      </c>
      <c r="B111" t="s">
        <v>231</v>
      </c>
      <c r="C111" t="s">
        <v>232</v>
      </c>
    </row>
    <row r="112" spans="1:3" x14ac:dyDescent="0.55000000000000004">
      <c r="A112">
        <v>178</v>
      </c>
      <c r="B112" t="s">
        <v>233</v>
      </c>
      <c r="C112" t="s">
        <v>234</v>
      </c>
    </row>
    <row r="113" spans="1:3" x14ac:dyDescent="0.55000000000000004">
      <c r="A113">
        <v>180</v>
      </c>
      <c r="B113" t="s">
        <v>235</v>
      </c>
      <c r="C113" t="s">
        <v>236</v>
      </c>
    </row>
    <row r="114" spans="1:3" x14ac:dyDescent="0.55000000000000004">
      <c r="A114">
        <v>181</v>
      </c>
      <c r="B114" t="s">
        <v>237</v>
      </c>
      <c r="C114" t="s">
        <v>238</v>
      </c>
    </row>
    <row r="115" spans="1:3" x14ac:dyDescent="0.55000000000000004">
      <c r="A115">
        <v>182</v>
      </c>
      <c r="B115" t="s">
        <v>239</v>
      </c>
      <c r="C115" t="s">
        <v>240</v>
      </c>
    </row>
    <row r="116" spans="1:3" x14ac:dyDescent="0.55000000000000004">
      <c r="A116">
        <v>183</v>
      </c>
      <c r="B116" t="s">
        <v>241</v>
      </c>
      <c r="C116" t="s">
        <v>242</v>
      </c>
    </row>
    <row r="117" spans="1:3" x14ac:dyDescent="0.55000000000000004">
      <c r="A117">
        <v>184</v>
      </c>
      <c r="B117" t="s">
        <v>243</v>
      </c>
      <c r="C117" t="s">
        <v>244</v>
      </c>
    </row>
    <row r="118" spans="1:3" x14ac:dyDescent="0.55000000000000004">
      <c r="A118">
        <v>185</v>
      </c>
      <c r="B118" t="s">
        <v>245</v>
      </c>
      <c r="C118" t="s">
        <v>246</v>
      </c>
    </row>
    <row r="119" spans="1:3" x14ac:dyDescent="0.55000000000000004">
      <c r="A119">
        <v>186</v>
      </c>
      <c r="B119" t="s">
        <v>247</v>
      </c>
      <c r="C119" t="s">
        <v>248</v>
      </c>
    </row>
    <row r="120" spans="1:3" x14ac:dyDescent="0.55000000000000004">
      <c r="A120">
        <v>187</v>
      </c>
      <c r="B120" t="s">
        <v>249</v>
      </c>
      <c r="C120" t="s">
        <v>250</v>
      </c>
    </row>
    <row r="121" spans="1:3" x14ac:dyDescent="0.55000000000000004">
      <c r="A121">
        <v>190</v>
      </c>
      <c r="B121" t="s">
        <v>251</v>
      </c>
      <c r="C121" t="s">
        <v>252</v>
      </c>
    </row>
    <row r="122" spans="1:3" x14ac:dyDescent="0.55000000000000004">
      <c r="A122">
        <v>191</v>
      </c>
      <c r="B122" t="s">
        <v>253</v>
      </c>
      <c r="C122" t="s">
        <v>254</v>
      </c>
    </row>
    <row r="123" spans="1:3" x14ac:dyDescent="0.55000000000000004">
      <c r="A123">
        <v>192</v>
      </c>
      <c r="B123" t="s">
        <v>255</v>
      </c>
      <c r="C123" t="s">
        <v>256</v>
      </c>
    </row>
    <row r="124" spans="1:3" x14ac:dyDescent="0.55000000000000004">
      <c r="A124">
        <v>196</v>
      </c>
      <c r="B124" t="s">
        <v>257</v>
      </c>
      <c r="C124" t="s">
        <v>258</v>
      </c>
    </row>
    <row r="125" spans="1:3" x14ac:dyDescent="0.55000000000000004">
      <c r="A125">
        <v>197</v>
      </c>
      <c r="B125" t="s">
        <v>259</v>
      </c>
      <c r="C125" t="s">
        <v>260</v>
      </c>
    </row>
    <row r="126" spans="1:3" x14ac:dyDescent="0.55000000000000004">
      <c r="A126">
        <v>198</v>
      </c>
      <c r="B126" t="s">
        <v>261</v>
      </c>
      <c r="C126" t="s">
        <v>262</v>
      </c>
    </row>
    <row r="127" spans="1:3" x14ac:dyDescent="0.55000000000000004">
      <c r="A127">
        <v>199</v>
      </c>
      <c r="B127" t="s">
        <v>263</v>
      </c>
      <c r="C127" t="s">
        <v>264</v>
      </c>
    </row>
    <row r="128" spans="1:3" x14ac:dyDescent="0.55000000000000004">
      <c r="A128">
        <v>200</v>
      </c>
      <c r="B128" t="s">
        <v>265</v>
      </c>
      <c r="C128" t="s">
        <v>266</v>
      </c>
    </row>
    <row r="129" spans="1:3" x14ac:dyDescent="0.55000000000000004">
      <c r="A129">
        <v>201</v>
      </c>
      <c r="B129" t="s">
        <v>267</v>
      </c>
      <c r="C129" t="s">
        <v>268</v>
      </c>
    </row>
    <row r="130" spans="1:3" x14ac:dyDescent="0.55000000000000004">
      <c r="A130">
        <v>202</v>
      </c>
      <c r="B130" t="s">
        <v>269</v>
      </c>
      <c r="C130" t="s">
        <v>270</v>
      </c>
    </row>
    <row r="131" spans="1:3" x14ac:dyDescent="0.55000000000000004">
      <c r="A131">
        <v>203</v>
      </c>
      <c r="B131" t="s">
        <v>271</v>
      </c>
      <c r="C131" t="s">
        <v>272</v>
      </c>
    </row>
    <row r="132" spans="1:3" x14ac:dyDescent="0.55000000000000004">
      <c r="A132">
        <v>204</v>
      </c>
      <c r="B132" t="s">
        <v>273</v>
      </c>
      <c r="C132" t="s">
        <v>274</v>
      </c>
    </row>
    <row r="133" spans="1:3" x14ac:dyDescent="0.55000000000000004">
      <c r="A133">
        <v>205</v>
      </c>
      <c r="B133" t="s">
        <v>275</v>
      </c>
      <c r="C133" t="s">
        <v>276</v>
      </c>
    </row>
    <row r="134" spans="1:3" x14ac:dyDescent="0.55000000000000004">
      <c r="A134">
        <v>208</v>
      </c>
      <c r="B134" t="s">
        <v>277</v>
      </c>
      <c r="C134" t="s">
        <v>278</v>
      </c>
    </row>
    <row r="135" spans="1:3" x14ac:dyDescent="0.55000000000000004">
      <c r="A135">
        <v>209</v>
      </c>
      <c r="B135" t="s">
        <v>279</v>
      </c>
      <c r="C135" t="s">
        <v>280</v>
      </c>
    </row>
    <row r="136" spans="1:3" x14ac:dyDescent="0.55000000000000004">
      <c r="A136">
        <v>210</v>
      </c>
      <c r="B136" t="s">
        <v>281</v>
      </c>
      <c r="C136" t="s">
        <v>282</v>
      </c>
    </row>
    <row r="137" spans="1:3" x14ac:dyDescent="0.55000000000000004">
      <c r="A137">
        <v>214</v>
      </c>
      <c r="B137" t="s">
        <v>283</v>
      </c>
      <c r="C137" t="s">
        <v>284</v>
      </c>
    </row>
    <row r="138" spans="1:3" x14ac:dyDescent="0.55000000000000004">
      <c r="A138">
        <v>217</v>
      </c>
      <c r="B138" t="s">
        <v>285</v>
      </c>
      <c r="C138" t="s">
        <v>286</v>
      </c>
    </row>
    <row r="139" spans="1:3" x14ac:dyDescent="0.55000000000000004">
      <c r="A139">
        <v>218</v>
      </c>
      <c r="B139" t="s">
        <v>287</v>
      </c>
      <c r="C139" t="s">
        <v>288</v>
      </c>
    </row>
    <row r="140" spans="1:3" x14ac:dyDescent="0.55000000000000004">
      <c r="A140">
        <v>219</v>
      </c>
      <c r="B140" t="s">
        <v>289</v>
      </c>
      <c r="C140" t="s">
        <v>290</v>
      </c>
    </row>
    <row r="141" spans="1:3" x14ac:dyDescent="0.55000000000000004">
      <c r="A141">
        <v>220</v>
      </c>
      <c r="B141" t="s">
        <v>291</v>
      </c>
      <c r="C141" t="s">
        <v>292</v>
      </c>
    </row>
    <row r="142" spans="1:3" x14ac:dyDescent="0.55000000000000004">
      <c r="A142">
        <v>221</v>
      </c>
      <c r="B142" t="s">
        <v>293</v>
      </c>
      <c r="C142" t="s">
        <v>294</v>
      </c>
    </row>
    <row r="143" spans="1:3" x14ac:dyDescent="0.55000000000000004">
      <c r="A143">
        <v>222</v>
      </c>
      <c r="B143" t="s">
        <v>295</v>
      </c>
      <c r="C143" t="s">
        <v>296</v>
      </c>
    </row>
    <row r="144" spans="1:3" x14ac:dyDescent="0.55000000000000004">
      <c r="A144">
        <v>223</v>
      </c>
      <c r="B144" t="s">
        <v>297</v>
      </c>
      <c r="C144" t="s">
        <v>298</v>
      </c>
    </row>
    <row r="145" spans="1:3" x14ac:dyDescent="0.55000000000000004">
      <c r="A145">
        <v>226</v>
      </c>
      <c r="B145" t="s">
        <v>299</v>
      </c>
      <c r="C145" t="s">
        <v>300</v>
      </c>
    </row>
    <row r="146" spans="1:3" x14ac:dyDescent="0.55000000000000004">
      <c r="A146">
        <v>227</v>
      </c>
      <c r="B146" t="s">
        <v>301</v>
      </c>
      <c r="C146" t="s">
        <v>302</v>
      </c>
    </row>
    <row r="147" spans="1:3" x14ac:dyDescent="0.55000000000000004">
      <c r="A147">
        <v>228</v>
      </c>
      <c r="B147" t="s">
        <v>303</v>
      </c>
      <c r="C147" t="s">
        <v>304</v>
      </c>
    </row>
    <row r="148" spans="1:3" x14ac:dyDescent="0.55000000000000004">
      <c r="A148">
        <v>232</v>
      </c>
      <c r="B148" t="s">
        <v>305</v>
      </c>
      <c r="C148" t="s">
        <v>306</v>
      </c>
    </row>
    <row r="149" spans="1:3" x14ac:dyDescent="0.55000000000000004">
      <c r="A149">
        <v>235</v>
      </c>
      <c r="B149" t="s">
        <v>307</v>
      </c>
      <c r="C149" t="s">
        <v>308</v>
      </c>
    </row>
    <row r="150" spans="1:3" x14ac:dyDescent="0.55000000000000004">
      <c r="A150">
        <v>236</v>
      </c>
      <c r="B150" t="s">
        <v>309</v>
      </c>
      <c r="C150" t="s">
        <v>310</v>
      </c>
    </row>
    <row r="151" spans="1:3" x14ac:dyDescent="0.55000000000000004">
      <c r="A151">
        <v>237</v>
      </c>
      <c r="B151" t="s">
        <v>311</v>
      </c>
      <c r="C151" t="s">
        <v>312</v>
      </c>
    </row>
    <row r="152" spans="1:3" x14ac:dyDescent="0.55000000000000004">
      <c r="A152">
        <v>238</v>
      </c>
      <c r="B152" t="s">
        <v>313</v>
      </c>
      <c r="C152" t="s">
        <v>314</v>
      </c>
    </row>
    <row r="153" spans="1:3" x14ac:dyDescent="0.55000000000000004">
      <c r="A153">
        <v>239</v>
      </c>
      <c r="B153" t="s">
        <v>315</v>
      </c>
      <c r="C153" t="s">
        <v>316</v>
      </c>
    </row>
    <row r="154" spans="1:3" x14ac:dyDescent="0.55000000000000004">
      <c r="A154">
        <v>240</v>
      </c>
      <c r="B154" t="s">
        <v>317</v>
      </c>
      <c r="C154" t="s">
        <v>318</v>
      </c>
    </row>
    <row r="155" spans="1:3" x14ac:dyDescent="0.55000000000000004">
      <c r="A155">
        <v>241</v>
      </c>
      <c r="B155" t="s">
        <v>319</v>
      </c>
      <c r="C155" t="s">
        <v>320</v>
      </c>
    </row>
    <row r="156" spans="1:3" x14ac:dyDescent="0.55000000000000004">
      <c r="A156">
        <v>244</v>
      </c>
      <c r="B156" t="s">
        <v>321</v>
      </c>
      <c r="C156" t="s">
        <v>322</v>
      </c>
    </row>
    <row r="157" spans="1:3" x14ac:dyDescent="0.55000000000000004">
      <c r="A157">
        <v>245</v>
      </c>
      <c r="B157" t="s">
        <v>323</v>
      </c>
      <c r="C157" t="s">
        <v>324</v>
      </c>
    </row>
    <row r="158" spans="1:3" x14ac:dyDescent="0.55000000000000004">
      <c r="A158">
        <v>246</v>
      </c>
      <c r="B158" t="s">
        <v>325</v>
      </c>
      <c r="C158" t="s">
        <v>326</v>
      </c>
    </row>
    <row r="159" spans="1:3" x14ac:dyDescent="0.55000000000000004">
      <c r="A159">
        <v>250</v>
      </c>
      <c r="B159" t="s">
        <v>327</v>
      </c>
      <c r="C159" t="s">
        <v>328</v>
      </c>
    </row>
    <row r="160" spans="1:3" x14ac:dyDescent="0.55000000000000004">
      <c r="A160">
        <v>253</v>
      </c>
      <c r="B160" t="s">
        <v>329</v>
      </c>
      <c r="C160" t="s">
        <v>330</v>
      </c>
    </row>
    <row r="161" spans="1:3" x14ac:dyDescent="0.55000000000000004">
      <c r="A161">
        <v>254</v>
      </c>
      <c r="B161" t="s">
        <v>331</v>
      </c>
      <c r="C161" t="s">
        <v>332</v>
      </c>
    </row>
    <row r="162" spans="1:3" x14ac:dyDescent="0.55000000000000004">
      <c r="A162">
        <v>255</v>
      </c>
      <c r="B162" t="s">
        <v>333</v>
      </c>
      <c r="C162" t="s">
        <v>334</v>
      </c>
    </row>
    <row r="163" spans="1:3" x14ac:dyDescent="0.55000000000000004">
      <c r="A163">
        <v>256</v>
      </c>
      <c r="B163" t="s">
        <v>335</v>
      </c>
      <c r="C163" t="s">
        <v>336</v>
      </c>
    </row>
    <row r="164" spans="1:3" x14ac:dyDescent="0.55000000000000004">
      <c r="A164">
        <v>257</v>
      </c>
      <c r="B164" t="s">
        <v>337</v>
      </c>
      <c r="C164" t="s">
        <v>338</v>
      </c>
    </row>
    <row r="165" spans="1:3" x14ac:dyDescent="0.55000000000000004">
      <c r="A165">
        <v>258</v>
      </c>
      <c r="B165" t="s">
        <v>339</v>
      </c>
      <c r="C165" t="s">
        <v>340</v>
      </c>
    </row>
    <row r="166" spans="1:3" x14ac:dyDescent="0.55000000000000004">
      <c r="A166">
        <v>259</v>
      </c>
      <c r="B166" t="s">
        <v>341</v>
      </c>
      <c r="C166" t="s">
        <v>342</v>
      </c>
    </row>
    <row r="167" spans="1:3" x14ac:dyDescent="0.55000000000000004">
      <c r="A167">
        <v>262</v>
      </c>
      <c r="B167" t="s">
        <v>343</v>
      </c>
      <c r="C167" t="s">
        <v>344</v>
      </c>
    </row>
    <row r="168" spans="1:3" x14ac:dyDescent="0.55000000000000004">
      <c r="A168">
        <v>263</v>
      </c>
      <c r="B168" t="s">
        <v>345</v>
      </c>
      <c r="C168" t="s">
        <v>346</v>
      </c>
    </row>
    <row r="169" spans="1:3" x14ac:dyDescent="0.55000000000000004">
      <c r="A169">
        <v>264</v>
      </c>
      <c r="B169" t="s">
        <v>347</v>
      </c>
      <c r="C169" t="s">
        <v>348</v>
      </c>
    </row>
    <row r="170" spans="1:3" x14ac:dyDescent="0.55000000000000004">
      <c r="A170">
        <v>268</v>
      </c>
      <c r="B170" t="s">
        <v>349</v>
      </c>
      <c r="C170" t="s">
        <v>350</v>
      </c>
    </row>
    <row r="171" spans="1:3" x14ac:dyDescent="0.55000000000000004">
      <c r="A171">
        <v>271</v>
      </c>
      <c r="B171" t="s">
        <v>351</v>
      </c>
      <c r="C171" t="s">
        <v>352</v>
      </c>
    </row>
    <row r="172" spans="1:3" x14ac:dyDescent="0.55000000000000004">
      <c r="A172">
        <v>272</v>
      </c>
      <c r="B172" t="s">
        <v>353</v>
      </c>
      <c r="C172" t="s">
        <v>354</v>
      </c>
    </row>
    <row r="173" spans="1:3" x14ac:dyDescent="0.55000000000000004">
      <c r="A173">
        <v>273</v>
      </c>
      <c r="B173" t="s">
        <v>355</v>
      </c>
      <c r="C173" t="s">
        <v>356</v>
      </c>
    </row>
    <row r="174" spans="1:3" x14ac:dyDescent="0.55000000000000004">
      <c r="A174">
        <v>274</v>
      </c>
      <c r="B174" t="s">
        <v>357</v>
      </c>
      <c r="C174" t="s">
        <v>358</v>
      </c>
    </row>
    <row r="175" spans="1:3" x14ac:dyDescent="0.55000000000000004">
      <c r="A175">
        <v>275</v>
      </c>
      <c r="B175" t="s">
        <v>359</v>
      </c>
      <c r="C175" t="s">
        <v>360</v>
      </c>
    </row>
    <row r="176" spans="1:3" x14ac:dyDescent="0.55000000000000004">
      <c r="A176">
        <v>276</v>
      </c>
      <c r="B176" t="s">
        <v>361</v>
      </c>
      <c r="C176" t="s">
        <v>362</v>
      </c>
    </row>
    <row r="177" spans="1:3" x14ac:dyDescent="0.55000000000000004">
      <c r="A177">
        <v>277</v>
      </c>
      <c r="B177" t="s">
        <v>363</v>
      </c>
      <c r="C177" t="s">
        <v>364</v>
      </c>
    </row>
    <row r="178" spans="1:3" x14ac:dyDescent="0.55000000000000004">
      <c r="A178">
        <v>280</v>
      </c>
      <c r="B178" t="s">
        <v>365</v>
      </c>
      <c r="C178" t="s">
        <v>366</v>
      </c>
    </row>
    <row r="179" spans="1:3" x14ac:dyDescent="0.55000000000000004">
      <c r="A179">
        <v>281</v>
      </c>
      <c r="B179" t="s">
        <v>367</v>
      </c>
      <c r="C179" t="s">
        <v>368</v>
      </c>
    </row>
    <row r="180" spans="1:3" x14ac:dyDescent="0.55000000000000004">
      <c r="A180">
        <v>282</v>
      </c>
      <c r="B180" t="s">
        <v>369</v>
      </c>
      <c r="C180" t="s">
        <v>370</v>
      </c>
    </row>
    <row r="181" spans="1:3" x14ac:dyDescent="0.55000000000000004">
      <c r="A181">
        <v>286</v>
      </c>
      <c r="B181" t="s">
        <v>371</v>
      </c>
      <c r="C181" t="s">
        <v>372</v>
      </c>
    </row>
    <row r="182" spans="1:3" x14ac:dyDescent="0.55000000000000004">
      <c r="A182">
        <v>287</v>
      </c>
      <c r="B182" t="s">
        <v>373</v>
      </c>
      <c r="C182" t="s">
        <v>374</v>
      </c>
    </row>
    <row r="183" spans="1:3" x14ac:dyDescent="0.55000000000000004">
      <c r="A183">
        <v>288</v>
      </c>
      <c r="B183" t="s">
        <v>375</v>
      </c>
      <c r="C183" t="s">
        <v>376</v>
      </c>
    </row>
    <row r="184" spans="1:3" x14ac:dyDescent="0.55000000000000004">
      <c r="A184">
        <v>289</v>
      </c>
      <c r="B184" t="s">
        <v>377</v>
      </c>
      <c r="C184" t="s">
        <v>378</v>
      </c>
    </row>
    <row r="185" spans="1:3" x14ac:dyDescent="0.55000000000000004">
      <c r="A185">
        <v>290</v>
      </c>
      <c r="B185" t="s">
        <v>379</v>
      </c>
      <c r="C185" t="s">
        <v>380</v>
      </c>
    </row>
    <row r="186" spans="1:3" x14ac:dyDescent="0.55000000000000004">
      <c r="A186">
        <v>291</v>
      </c>
      <c r="B186" t="s">
        <v>381</v>
      </c>
      <c r="C186" t="s">
        <v>382</v>
      </c>
    </row>
    <row r="187" spans="1:3" x14ac:dyDescent="0.55000000000000004">
      <c r="A187">
        <v>292</v>
      </c>
      <c r="B187" t="s">
        <v>383</v>
      </c>
      <c r="C187" t="s">
        <v>384</v>
      </c>
    </row>
    <row r="188" spans="1:3" x14ac:dyDescent="0.55000000000000004">
      <c r="A188">
        <v>293</v>
      </c>
      <c r="B188" t="s">
        <v>385</v>
      </c>
      <c r="C188" t="s">
        <v>386</v>
      </c>
    </row>
    <row r="189" spans="1:3" x14ac:dyDescent="0.55000000000000004">
      <c r="A189">
        <v>294</v>
      </c>
      <c r="B189" t="s">
        <v>387</v>
      </c>
      <c r="C189" t="s">
        <v>388</v>
      </c>
    </row>
    <row r="190" spans="1:3" x14ac:dyDescent="0.55000000000000004">
      <c r="A190">
        <v>295</v>
      </c>
      <c r="B190" t="s">
        <v>389</v>
      </c>
      <c r="C190" t="s">
        <v>390</v>
      </c>
    </row>
    <row r="191" spans="1:3" x14ac:dyDescent="0.55000000000000004">
      <c r="A191">
        <v>298</v>
      </c>
      <c r="B191" t="s">
        <v>391</v>
      </c>
      <c r="C191" t="s">
        <v>392</v>
      </c>
    </row>
    <row r="192" spans="1:3" x14ac:dyDescent="0.55000000000000004">
      <c r="A192">
        <v>299</v>
      </c>
      <c r="B192" t="s">
        <v>393</v>
      </c>
      <c r="C192" t="s">
        <v>394</v>
      </c>
    </row>
    <row r="193" spans="1:3" x14ac:dyDescent="0.55000000000000004">
      <c r="A193">
        <v>300</v>
      </c>
      <c r="B193" t="s">
        <v>395</v>
      </c>
      <c r="C193" t="s">
        <v>396</v>
      </c>
    </row>
    <row r="194" spans="1:3" x14ac:dyDescent="0.55000000000000004">
      <c r="A194">
        <v>304</v>
      </c>
      <c r="B194" t="s">
        <v>397</v>
      </c>
      <c r="C194" t="s">
        <v>398</v>
      </c>
    </row>
    <row r="195" spans="1:3" x14ac:dyDescent="0.55000000000000004">
      <c r="A195">
        <v>306</v>
      </c>
      <c r="B195" t="s">
        <v>399</v>
      </c>
      <c r="C195" t="s">
        <v>400</v>
      </c>
    </row>
    <row r="196" spans="1:3" x14ac:dyDescent="0.55000000000000004">
      <c r="A196">
        <v>307</v>
      </c>
      <c r="B196" t="s">
        <v>401</v>
      </c>
      <c r="C196" t="s">
        <v>402</v>
      </c>
    </row>
    <row r="197" spans="1:3" x14ac:dyDescent="0.55000000000000004">
      <c r="A197">
        <v>308</v>
      </c>
      <c r="B197" t="s">
        <v>403</v>
      </c>
      <c r="C197" t="s">
        <v>404</v>
      </c>
    </row>
    <row r="198" spans="1:3" x14ac:dyDescent="0.55000000000000004">
      <c r="A198">
        <v>309</v>
      </c>
      <c r="B198" t="s">
        <v>405</v>
      </c>
      <c r="C198" t="s">
        <v>406</v>
      </c>
    </row>
    <row r="199" spans="1:3" x14ac:dyDescent="0.55000000000000004">
      <c r="A199">
        <v>310</v>
      </c>
      <c r="B199" t="s">
        <v>407</v>
      </c>
      <c r="C199" t="s">
        <v>408</v>
      </c>
    </row>
    <row r="200" spans="1:3" x14ac:dyDescent="0.55000000000000004">
      <c r="A200">
        <v>311</v>
      </c>
      <c r="B200" t="s">
        <v>409</v>
      </c>
      <c r="C200" t="s">
        <v>410</v>
      </c>
    </row>
    <row r="201" spans="1:3" x14ac:dyDescent="0.55000000000000004">
      <c r="A201">
        <v>312</v>
      </c>
      <c r="B201" t="s">
        <v>411</v>
      </c>
      <c r="C201" t="s">
        <v>412</v>
      </c>
    </row>
    <row r="202" spans="1:3" x14ac:dyDescent="0.55000000000000004">
      <c r="A202">
        <v>313</v>
      </c>
      <c r="B202" t="s">
        <v>413</v>
      </c>
      <c r="C202" t="s">
        <v>414</v>
      </c>
    </row>
    <row r="203" spans="1:3" x14ac:dyDescent="0.55000000000000004">
      <c r="A203">
        <v>316</v>
      </c>
      <c r="B203" t="s">
        <v>415</v>
      </c>
      <c r="C203" t="s">
        <v>416</v>
      </c>
    </row>
    <row r="204" spans="1:3" x14ac:dyDescent="0.55000000000000004">
      <c r="A204">
        <v>317</v>
      </c>
      <c r="B204" t="s">
        <v>417</v>
      </c>
      <c r="C204" t="s">
        <v>418</v>
      </c>
    </row>
    <row r="205" spans="1:3" x14ac:dyDescent="0.55000000000000004">
      <c r="A205">
        <v>318</v>
      </c>
      <c r="B205" t="s">
        <v>419</v>
      </c>
      <c r="C205" t="s">
        <v>420</v>
      </c>
    </row>
    <row r="206" spans="1:3" x14ac:dyDescent="0.55000000000000004">
      <c r="A206">
        <v>322</v>
      </c>
      <c r="B206" t="s">
        <v>421</v>
      </c>
      <c r="C206" t="s">
        <v>422</v>
      </c>
    </row>
    <row r="207" spans="1:3" x14ac:dyDescent="0.55000000000000004">
      <c r="A207">
        <v>323</v>
      </c>
      <c r="B207" t="s">
        <v>423</v>
      </c>
      <c r="C207" t="s">
        <v>424</v>
      </c>
    </row>
    <row r="208" spans="1:3" x14ac:dyDescent="0.55000000000000004">
      <c r="A208">
        <v>325</v>
      </c>
      <c r="B208" t="s">
        <v>425</v>
      </c>
      <c r="C208" t="s">
        <v>426</v>
      </c>
    </row>
    <row r="209" spans="1:3" x14ac:dyDescent="0.55000000000000004">
      <c r="A209">
        <v>326</v>
      </c>
      <c r="B209" t="s">
        <v>427</v>
      </c>
      <c r="C209" t="s">
        <v>428</v>
      </c>
    </row>
    <row r="210" spans="1:3" x14ac:dyDescent="0.55000000000000004">
      <c r="A210">
        <v>327</v>
      </c>
      <c r="B210" t="s">
        <v>429</v>
      </c>
      <c r="C210" t="s">
        <v>430</v>
      </c>
    </row>
    <row r="211" spans="1:3" x14ac:dyDescent="0.55000000000000004">
      <c r="A211">
        <v>328</v>
      </c>
      <c r="B211" t="s">
        <v>431</v>
      </c>
      <c r="C211" t="s">
        <v>432</v>
      </c>
    </row>
    <row r="212" spans="1:3" x14ac:dyDescent="0.55000000000000004">
      <c r="A212">
        <v>329</v>
      </c>
      <c r="B212" t="s">
        <v>433</v>
      </c>
      <c r="C212" t="s">
        <v>434</v>
      </c>
    </row>
    <row r="213" spans="1:3" x14ac:dyDescent="0.55000000000000004">
      <c r="A213">
        <v>330</v>
      </c>
      <c r="B213" t="s">
        <v>435</v>
      </c>
      <c r="C213" t="s">
        <v>436</v>
      </c>
    </row>
    <row r="214" spans="1:3" x14ac:dyDescent="0.55000000000000004">
      <c r="A214">
        <v>331</v>
      </c>
      <c r="B214" t="s">
        <v>437</v>
      </c>
      <c r="C214" t="s">
        <v>438</v>
      </c>
    </row>
    <row r="215" spans="1:3" x14ac:dyDescent="0.55000000000000004">
      <c r="A215">
        <v>334</v>
      </c>
      <c r="B215" t="s">
        <v>439</v>
      </c>
      <c r="C215" t="s">
        <v>440</v>
      </c>
    </row>
    <row r="216" spans="1:3" x14ac:dyDescent="0.55000000000000004">
      <c r="A216">
        <v>335</v>
      </c>
      <c r="B216" t="s">
        <v>441</v>
      </c>
      <c r="C216" t="s">
        <v>442</v>
      </c>
    </row>
    <row r="217" spans="1:3" x14ac:dyDescent="0.55000000000000004">
      <c r="A217">
        <v>336</v>
      </c>
      <c r="B217" t="s">
        <v>443</v>
      </c>
      <c r="C217" t="s">
        <v>444</v>
      </c>
    </row>
    <row r="218" spans="1:3" x14ac:dyDescent="0.55000000000000004">
      <c r="A218">
        <v>340</v>
      </c>
      <c r="B218" t="s">
        <v>445</v>
      </c>
      <c r="C218" t="s">
        <v>446</v>
      </c>
    </row>
    <row r="219" spans="1:3" x14ac:dyDescent="0.55000000000000004">
      <c r="A219">
        <v>343</v>
      </c>
      <c r="B219" t="s">
        <v>447</v>
      </c>
      <c r="C219" t="s">
        <v>448</v>
      </c>
    </row>
    <row r="220" spans="1:3" x14ac:dyDescent="0.55000000000000004">
      <c r="A220">
        <v>344</v>
      </c>
      <c r="B220" t="s">
        <v>449</v>
      </c>
      <c r="C220" t="s">
        <v>450</v>
      </c>
    </row>
    <row r="221" spans="1:3" x14ac:dyDescent="0.55000000000000004">
      <c r="A221">
        <v>345</v>
      </c>
      <c r="B221" t="s">
        <v>451</v>
      </c>
      <c r="C221" t="s">
        <v>452</v>
      </c>
    </row>
    <row r="222" spans="1:3" x14ac:dyDescent="0.55000000000000004">
      <c r="A222">
        <v>346</v>
      </c>
      <c r="B222" t="s">
        <v>453</v>
      </c>
      <c r="C222" t="s">
        <v>454</v>
      </c>
    </row>
    <row r="223" spans="1:3" x14ac:dyDescent="0.55000000000000004">
      <c r="A223">
        <v>347</v>
      </c>
      <c r="B223" t="s">
        <v>455</v>
      </c>
      <c r="C223" t="s">
        <v>456</v>
      </c>
    </row>
    <row r="224" spans="1:3" x14ac:dyDescent="0.55000000000000004">
      <c r="A224">
        <v>348</v>
      </c>
      <c r="B224" t="s">
        <v>457</v>
      </c>
      <c r="C224" t="s">
        <v>458</v>
      </c>
    </row>
    <row r="225" spans="1:3" x14ac:dyDescent="0.55000000000000004">
      <c r="A225">
        <v>349</v>
      </c>
      <c r="B225" t="s">
        <v>459</v>
      </c>
      <c r="C225" t="s">
        <v>460</v>
      </c>
    </row>
    <row r="226" spans="1:3" x14ac:dyDescent="0.55000000000000004">
      <c r="A226">
        <v>352</v>
      </c>
      <c r="B226" t="s">
        <v>461</v>
      </c>
      <c r="C226" t="s">
        <v>462</v>
      </c>
    </row>
    <row r="227" spans="1:3" x14ac:dyDescent="0.55000000000000004">
      <c r="A227">
        <v>353</v>
      </c>
      <c r="B227" t="s">
        <v>463</v>
      </c>
      <c r="C227" t="s">
        <v>464</v>
      </c>
    </row>
    <row r="228" spans="1:3" x14ac:dyDescent="0.55000000000000004">
      <c r="A228">
        <v>354</v>
      </c>
      <c r="B228" t="s">
        <v>465</v>
      </c>
      <c r="C228" t="s">
        <v>466</v>
      </c>
    </row>
    <row r="229" spans="1:3" x14ac:dyDescent="0.55000000000000004">
      <c r="A229">
        <v>358</v>
      </c>
      <c r="B229" t="s">
        <v>467</v>
      </c>
      <c r="C229" t="s">
        <v>468</v>
      </c>
    </row>
    <row r="230" spans="1:3" x14ac:dyDescent="0.55000000000000004">
      <c r="A230">
        <v>360</v>
      </c>
      <c r="B230" t="s">
        <v>469</v>
      </c>
      <c r="C230" t="s">
        <v>470</v>
      </c>
    </row>
    <row r="231" spans="1:3" x14ac:dyDescent="0.55000000000000004">
      <c r="A231">
        <v>361</v>
      </c>
      <c r="B231" t="s">
        <v>471</v>
      </c>
      <c r="C231" t="s">
        <v>472</v>
      </c>
    </row>
    <row r="232" spans="1:3" x14ac:dyDescent="0.55000000000000004">
      <c r="A232">
        <v>362</v>
      </c>
      <c r="B232" t="s">
        <v>473</v>
      </c>
      <c r="C232" t="s">
        <v>474</v>
      </c>
    </row>
    <row r="233" spans="1:3" x14ac:dyDescent="0.55000000000000004">
      <c r="A233">
        <v>363</v>
      </c>
      <c r="B233" t="s">
        <v>475</v>
      </c>
      <c r="C233" t="s">
        <v>476</v>
      </c>
    </row>
    <row r="234" spans="1:3" x14ac:dyDescent="0.55000000000000004">
      <c r="A234">
        <v>364</v>
      </c>
      <c r="B234" t="s">
        <v>477</v>
      </c>
      <c r="C234" t="s">
        <v>478</v>
      </c>
    </row>
    <row r="235" spans="1:3" x14ac:dyDescent="0.55000000000000004">
      <c r="A235">
        <v>365</v>
      </c>
      <c r="B235" t="s">
        <v>479</v>
      </c>
      <c r="C235" t="s">
        <v>480</v>
      </c>
    </row>
    <row r="236" spans="1:3" x14ac:dyDescent="0.55000000000000004">
      <c r="A236">
        <v>366</v>
      </c>
      <c r="B236" t="s">
        <v>481</v>
      </c>
      <c r="C236" t="s">
        <v>482</v>
      </c>
    </row>
    <row r="237" spans="1:3" x14ac:dyDescent="0.55000000000000004">
      <c r="A237">
        <v>367</v>
      </c>
      <c r="B237" t="s">
        <v>483</v>
      </c>
      <c r="C237" t="s">
        <v>484</v>
      </c>
    </row>
    <row r="238" spans="1:3" x14ac:dyDescent="0.55000000000000004">
      <c r="A238">
        <v>370</v>
      </c>
      <c r="B238" t="s">
        <v>485</v>
      </c>
      <c r="C238" t="s">
        <v>486</v>
      </c>
    </row>
    <row r="239" spans="1:3" x14ac:dyDescent="0.55000000000000004">
      <c r="A239">
        <v>371</v>
      </c>
      <c r="B239" t="s">
        <v>487</v>
      </c>
      <c r="C239" t="s">
        <v>488</v>
      </c>
    </row>
    <row r="240" spans="1:3" x14ac:dyDescent="0.55000000000000004">
      <c r="A240">
        <v>372</v>
      </c>
      <c r="B240" t="s">
        <v>489</v>
      </c>
      <c r="C240" t="s">
        <v>490</v>
      </c>
    </row>
    <row r="241" spans="1:3" x14ac:dyDescent="0.55000000000000004">
      <c r="A241">
        <v>376</v>
      </c>
      <c r="B241" t="s">
        <v>491</v>
      </c>
      <c r="C241" t="s">
        <v>492</v>
      </c>
    </row>
    <row r="242" spans="1:3" x14ac:dyDescent="0.55000000000000004">
      <c r="A242">
        <v>377</v>
      </c>
      <c r="B242" t="s">
        <v>493</v>
      </c>
      <c r="C242" t="s">
        <v>494</v>
      </c>
    </row>
    <row r="243" spans="1:3" x14ac:dyDescent="0.55000000000000004">
      <c r="A243">
        <v>379</v>
      </c>
      <c r="B243" t="s">
        <v>495</v>
      </c>
      <c r="C243" t="s">
        <v>496</v>
      </c>
    </row>
    <row r="244" spans="1:3" x14ac:dyDescent="0.55000000000000004">
      <c r="A244">
        <v>380</v>
      </c>
      <c r="B244" t="s">
        <v>497</v>
      </c>
      <c r="C244" t="s">
        <v>498</v>
      </c>
    </row>
    <row r="245" spans="1:3" x14ac:dyDescent="0.55000000000000004">
      <c r="A245">
        <v>381</v>
      </c>
      <c r="B245" t="s">
        <v>499</v>
      </c>
      <c r="C245" t="s">
        <v>500</v>
      </c>
    </row>
    <row r="246" spans="1:3" x14ac:dyDescent="0.55000000000000004">
      <c r="A246">
        <v>382</v>
      </c>
      <c r="B246" t="s">
        <v>501</v>
      </c>
      <c r="C246" t="s">
        <v>502</v>
      </c>
    </row>
    <row r="247" spans="1:3" x14ac:dyDescent="0.55000000000000004">
      <c r="A247">
        <v>383</v>
      </c>
      <c r="B247" t="s">
        <v>503</v>
      </c>
      <c r="C247" t="s">
        <v>504</v>
      </c>
    </row>
    <row r="248" spans="1:3" x14ac:dyDescent="0.55000000000000004">
      <c r="A248">
        <v>384</v>
      </c>
      <c r="B248" t="s">
        <v>505</v>
      </c>
      <c r="C248" t="s">
        <v>506</v>
      </c>
    </row>
    <row r="249" spans="1:3" x14ac:dyDescent="0.55000000000000004">
      <c r="A249">
        <v>385</v>
      </c>
      <c r="B249" t="s">
        <v>507</v>
      </c>
      <c r="C249" t="s">
        <v>508</v>
      </c>
    </row>
    <row r="250" spans="1:3" x14ac:dyDescent="0.55000000000000004">
      <c r="A250">
        <v>388</v>
      </c>
      <c r="B250" t="s">
        <v>509</v>
      </c>
      <c r="C250" t="s">
        <v>510</v>
      </c>
    </row>
    <row r="251" spans="1:3" x14ac:dyDescent="0.55000000000000004">
      <c r="A251">
        <v>389</v>
      </c>
      <c r="B251" t="s">
        <v>511</v>
      </c>
      <c r="C251" t="s">
        <v>512</v>
      </c>
    </row>
    <row r="252" spans="1:3" x14ac:dyDescent="0.55000000000000004">
      <c r="A252">
        <v>390</v>
      </c>
      <c r="B252" t="s">
        <v>513</v>
      </c>
      <c r="C252" t="s">
        <v>514</v>
      </c>
    </row>
    <row r="253" spans="1:3" x14ac:dyDescent="0.55000000000000004">
      <c r="A253">
        <v>394</v>
      </c>
      <c r="B253" t="s">
        <v>515</v>
      </c>
      <c r="C253" t="s">
        <v>516</v>
      </c>
    </row>
    <row r="254" spans="1:3" x14ac:dyDescent="0.55000000000000004">
      <c r="A254">
        <v>395</v>
      </c>
      <c r="B254" t="s">
        <v>517</v>
      </c>
      <c r="C254" t="s">
        <v>518</v>
      </c>
    </row>
    <row r="255" spans="1:3" x14ac:dyDescent="0.55000000000000004">
      <c r="A255">
        <v>397</v>
      </c>
      <c r="B255" t="s">
        <v>519</v>
      </c>
      <c r="C255" t="s">
        <v>520</v>
      </c>
    </row>
    <row r="256" spans="1:3" x14ac:dyDescent="0.55000000000000004">
      <c r="A256">
        <v>398</v>
      </c>
      <c r="B256" t="s">
        <v>521</v>
      </c>
      <c r="C256" t="s">
        <v>522</v>
      </c>
    </row>
    <row r="257" spans="1:3" x14ac:dyDescent="0.55000000000000004">
      <c r="A257">
        <v>399</v>
      </c>
      <c r="B257" t="s">
        <v>523</v>
      </c>
      <c r="C257" t="s">
        <v>524</v>
      </c>
    </row>
    <row r="258" spans="1:3" x14ac:dyDescent="0.55000000000000004">
      <c r="A258">
        <v>400</v>
      </c>
      <c r="B258" t="s">
        <v>525</v>
      </c>
      <c r="C258" t="s">
        <v>526</v>
      </c>
    </row>
    <row r="259" spans="1:3" x14ac:dyDescent="0.55000000000000004">
      <c r="A259">
        <v>401</v>
      </c>
      <c r="B259" t="s">
        <v>527</v>
      </c>
      <c r="C259" t="s">
        <v>528</v>
      </c>
    </row>
    <row r="260" spans="1:3" x14ac:dyDescent="0.55000000000000004">
      <c r="A260">
        <v>402</v>
      </c>
      <c r="B260" t="s">
        <v>529</v>
      </c>
      <c r="C260" t="s">
        <v>530</v>
      </c>
    </row>
    <row r="261" spans="1:3" x14ac:dyDescent="0.55000000000000004">
      <c r="A261">
        <v>403</v>
      </c>
      <c r="B261" t="s">
        <v>531</v>
      </c>
      <c r="C261" t="s">
        <v>532</v>
      </c>
    </row>
    <row r="262" spans="1:3" x14ac:dyDescent="0.55000000000000004">
      <c r="A262">
        <v>406</v>
      </c>
      <c r="B262" t="s">
        <v>533</v>
      </c>
      <c r="C262" t="s">
        <v>534</v>
      </c>
    </row>
    <row r="263" spans="1:3" x14ac:dyDescent="0.55000000000000004">
      <c r="A263">
        <v>407</v>
      </c>
      <c r="B263" t="s">
        <v>535</v>
      </c>
      <c r="C263" t="s">
        <v>536</v>
      </c>
    </row>
    <row r="264" spans="1:3" x14ac:dyDescent="0.55000000000000004">
      <c r="A264">
        <v>408</v>
      </c>
      <c r="B264" t="s">
        <v>537</v>
      </c>
      <c r="C264" t="s">
        <v>538</v>
      </c>
    </row>
    <row r="265" spans="1:3" x14ac:dyDescent="0.55000000000000004">
      <c r="A265">
        <v>412</v>
      </c>
      <c r="B265" t="s">
        <v>539</v>
      </c>
      <c r="C265" t="s">
        <v>540</v>
      </c>
    </row>
    <row r="266" spans="1:3" x14ac:dyDescent="0.55000000000000004">
      <c r="A266">
        <v>415</v>
      </c>
      <c r="B266" t="s">
        <v>541</v>
      </c>
      <c r="C266" t="s">
        <v>542</v>
      </c>
    </row>
    <row r="267" spans="1:3" x14ac:dyDescent="0.55000000000000004">
      <c r="A267">
        <v>416</v>
      </c>
      <c r="B267" t="s">
        <v>543</v>
      </c>
      <c r="C267" t="s">
        <v>544</v>
      </c>
    </row>
    <row r="268" spans="1:3" x14ac:dyDescent="0.55000000000000004">
      <c r="A268">
        <v>417</v>
      </c>
      <c r="B268" t="s">
        <v>545</v>
      </c>
      <c r="C268" t="s">
        <v>546</v>
      </c>
    </row>
    <row r="269" spans="1:3" x14ac:dyDescent="0.55000000000000004">
      <c r="A269">
        <v>418</v>
      </c>
      <c r="B269" t="s">
        <v>547</v>
      </c>
      <c r="C269" t="s">
        <v>548</v>
      </c>
    </row>
    <row r="270" spans="1:3" x14ac:dyDescent="0.55000000000000004">
      <c r="A270">
        <v>419</v>
      </c>
      <c r="B270" t="s">
        <v>549</v>
      </c>
      <c r="C270" t="s">
        <v>550</v>
      </c>
    </row>
    <row r="271" spans="1:3" x14ac:dyDescent="0.55000000000000004">
      <c r="A271">
        <v>420</v>
      </c>
      <c r="B271" t="s">
        <v>551</v>
      </c>
      <c r="C271" t="s">
        <v>552</v>
      </c>
    </row>
    <row r="272" spans="1:3" x14ac:dyDescent="0.55000000000000004">
      <c r="A272">
        <v>421</v>
      </c>
      <c r="B272" t="s">
        <v>553</v>
      </c>
      <c r="C272" t="s">
        <v>554</v>
      </c>
    </row>
    <row r="273" spans="1:3" x14ac:dyDescent="0.55000000000000004">
      <c r="A273">
        <v>424</v>
      </c>
      <c r="B273" t="s">
        <v>555</v>
      </c>
      <c r="C273" t="s">
        <v>556</v>
      </c>
    </row>
    <row r="274" spans="1:3" x14ac:dyDescent="0.55000000000000004">
      <c r="A274">
        <v>425</v>
      </c>
      <c r="B274" t="s">
        <v>557</v>
      </c>
      <c r="C274" t="s">
        <v>558</v>
      </c>
    </row>
    <row r="275" spans="1:3" x14ac:dyDescent="0.55000000000000004">
      <c r="A275">
        <v>426</v>
      </c>
      <c r="B275" t="s">
        <v>559</v>
      </c>
      <c r="C275" t="s">
        <v>560</v>
      </c>
    </row>
    <row r="276" spans="1:3" x14ac:dyDescent="0.55000000000000004">
      <c r="A276">
        <v>430</v>
      </c>
      <c r="B276" t="s">
        <v>561</v>
      </c>
      <c r="C276" t="s">
        <v>562</v>
      </c>
    </row>
    <row r="277" spans="1:3" x14ac:dyDescent="0.55000000000000004">
      <c r="A277">
        <v>431</v>
      </c>
      <c r="B277" t="s">
        <v>563</v>
      </c>
      <c r="C277" t="s">
        <v>564</v>
      </c>
    </row>
    <row r="278" spans="1:3" x14ac:dyDescent="0.55000000000000004">
      <c r="A278">
        <v>433</v>
      </c>
      <c r="B278" t="s">
        <v>565</v>
      </c>
      <c r="C278" t="s">
        <v>566</v>
      </c>
    </row>
    <row r="279" spans="1:3" x14ac:dyDescent="0.55000000000000004">
      <c r="A279">
        <v>434</v>
      </c>
      <c r="B279" t="s">
        <v>567</v>
      </c>
      <c r="C279" t="s">
        <v>568</v>
      </c>
    </row>
    <row r="280" spans="1:3" x14ac:dyDescent="0.55000000000000004">
      <c r="A280">
        <v>435</v>
      </c>
      <c r="B280" t="s">
        <v>569</v>
      </c>
      <c r="C280" t="s">
        <v>570</v>
      </c>
    </row>
    <row r="281" spans="1:3" x14ac:dyDescent="0.55000000000000004">
      <c r="A281">
        <v>436</v>
      </c>
      <c r="B281" t="s">
        <v>571</v>
      </c>
      <c r="C281" t="s">
        <v>572</v>
      </c>
    </row>
    <row r="282" spans="1:3" x14ac:dyDescent="0.55000000000000004">
      <c r="A282">
        <v>437</v>
      </c>
      <c r="B282" t="s">
        <v>573</v>
      </c>
      <c r="C282" t="s">
        <v>574</v>
      </c>
    </row>
    <row r="283" spans="1:3" x14ac:dyDescent="0.55000000000000004">
      <c r="A283">
        <v>438</v>
      </c>
      <c r="B283" t="s">
        <v>575</v>
      </c>
      <c r="C283" t="s">
        <v>576</v>
      </c>
    </row>
    <row r="284" spans="1:3" x14ac:dyDescent="0.55000000000000004">
      <c r="A284">
        <v>439</v>
      </c>
      <c r="B284" t="s">
        <v>577</v>
      </c>
      <c r="C284" t="s">
        <v>578</v>
      </c>
    </row>
    <row r="285" spans="1:3" x14ac:dyDescent="0.55000000000000004">
      <c r="A285">
        <v>442</v>
      </c>
      <c r="B285" t="s">
        <v>579</v>
      </c>
      <c r="C285" t="s">
        <v>580</v>
      </c>
    </row>
    <row r="286" spans="1:3" x14ac:dyDescent="0.55000000000000004">
      <c r="A286">
        <v>443</v>
      </c>
      <c r="B286" t="s">
        <v>581</v>
      </c>
      <c r="C286" t="s">
        <v>582</v>
      </c>
    </row>
    <row r="287" spans="1:3" x14ac:dyDescent="0.55000000000000004">
      <c r="A287">
        <v>444</v>
      </c>
      <c r="B287" t="s">
        <v>583</v>
      </c>
      <c r="C287" t="s">
        <v>584</v>
      </c>
    </row>
    <row r="288" spans="1:3" x14ac:dyDescent="0.55000000000000004">
      <c r="A288">
        <v>448</v>
      </c>
      <c r="B288" t="s">
        <v>585</v>
      </c>
      <c r="C288" t="s">
        <v>586</v>
      </c>
    </row>
    <row r="289" spans="1:3" x14ac:dyDescent="0.55000000000000004">
      <c r="A289">
        <v>451</v>
      </c>
      <c r="B289" t="s">
        <v>587</v>
      </c>
      <c r="C289" t="s">
        <v>588</v>
      </c>
    </row>
    <row r="290" spans="1:3" x14ac:dyDescent="0.55000000000000004">
      <c r="A290">
        <v>452</v>
      </c>
      <c r="B290" t="s">
        <v>589</v>
      </c>
      <c r="C290" t="s">
        <v>590</v>
      </c>
    </row>
    <row r="291" spans="1:3" x14ac:dyDescent="0.55000000000000004">
      <c r="A291">
        <v>453</v>
      </c>
      <c r="B291" t="s">
        <v>591</v>
      </c>
      <c r="C291" t="s">
        <v>592</v>
      </c>
    </row>
    <row r="292" spans="1:3" x14ac:dyDescent="0.55000000000000004">
      <c r="A292">
        <v>454</v>
      </c>
      <c r="B292" t="s">
        <v>593</v>
      </c>
      <c r="C292" t="s">
        <v>594</v>
      </c>
    </row>
    <row r="293" spans="1:3" x14ac:dyDescent="0.55000000000000004">
      <c r="A293">
        <v>455</v>
      </c>
      <c r="B293" t="s">
        <v>595</v>
      </c>
      <c r="C293" t="s">
        <v>596</v>
      </c>
    </row>
    <row r="294" spans="1:3" x14ac:dyDescent="0.55000000000000004">
      <c r="A294">
        <v>456</v>
      </c>
      <c r="B294" t="s">
        <v>597</v>
      </c>
      <c r="C294" t="s">
        <v>598</v>
      </c>
    </row>
    <row r="295" spans="1:3" x14ac:dyDescent="0.55000000000000004">
      <c r="A295">
        <v>457</v>
      </c>
      <c r="B295" t="s">
        <v>599</v>
      </c>
      <c r="C295" t="s">
        <v>600</v>
      </c>
    </row>
    <row r="296" spans="1:3" x14ac:dyDescent="0.55000000000000004">
      <c r="A296">
        <v>460</v>
      </c>
      <c r="B296" t="s">
        <v>601</v>
      </c>
      <c r="C296" t="s">
        <v>602</v>
      </c>
    </row>
    <row r="297" spans="1:3" x14ac:dyDescent="0.55000000000000004">
      <c r="A297">
        <v>461</v>
      </c>
      <c r="B297" t="s">
        <v>603</v>
      </c>
      <c r="C297" t="s">
        <v>604</v>
      </c>
    </row>
    <row r="298" spans="1:3" x14ac:dyDescent="0.55000000000000004">
      <c r="A298">
        <v>462</v>
      </c>
      <c r="B298" t="s">
        <v>605</v>
      </c>
      <c r="C298" t="s">
        <v>606</v>
      </c>
    </row>
    <row r="299" spans="1:3" x14ac:dyDescent="0.55000000000000004">
      <c r="A299">
        <v>466</v>
      </c>
      <c r="B299" t="s">
        <v>607</v>
      </c>
      <c r="C299" t="s">
        <v>608</v>
      </c>
    </row>
    <row r="300" spans="1:3" x14ac:dyDescent="0.55000000000000004">
      <c r="A300">
        <v>468</v>
      </c>
      <c r="B300" t="s">
        <v>609</v>
      </c>
      <c r="C300" t="s">
        <v>610</v>
      </c>
    </row>
    <row r="301" spans="1:3" x14ac:dyDescent="0.55000000000000004">
      <c r="A301">
        <v>469</v>
      </c>
      <c r="B301" t="s">
        <v>611</v>
      </c>
      <c r="C301" t="s">
        <v>612</v>
      </c>
    </row>
    <row r="302" spans="1:3" x14ac:dyDescent="0.55000000000000004">
      <c r="A302">
        <v>470</v>
      </c>
      <c r="B302" t="s">
        <v>613</v>
      </c>
      <c r="C302" t="s">
        <v>614</v>
      </c>
    </row>
    <row r="303" spans="1:3" x14ac:dyDescent="0.55000000000000004">
      <c r="A303">
        <v>471</v>
      </c>
      <c r="B303" t="s">
        <v>615</v>
      </c>
      <c r="C303" t="s">
        <v>616</v>
      </c>
    </row>
    <row r="304" spans="1:3" x14ac:dyDescent="0.55000000000000004">
      <c r="A304">
        <v>472</v>
      </c>
      <c r="B304" t="s">
        <v>617</v>
      </c>
      <c r="C304" t="s">
        <v>618</v>
      </c>
    </row>
    <row r="305" spans="1:3" x14ac:dyDescent="0.55000000000000004">
      <c r="A305">
        <v>473</v>
      </c>
      <c r="B305" t="s">
        <v>619</v>
      </c>
      <c r="C305" t="s">
        <v>620</v>
      </c>
    </row>
    <row r="306" spans="1:3" x14ac:dyDescent="0.55000000000000004">
      <c r="A306">
        <v>474</v>
      </c>
      <c r="B306" t="s">
        <v>621</v>
      </c>
      <c r="C306" t="s">
        <v>622</v>
      </c>
    </row>
    <row r="307" spans="1:3" x14ac:dyDescent="0.55000000000000004">
      <c r="A307">
        <v>475</v>
      </c>
      <c r="B307" t="s">
        <v>623</v>
      </c>
      <c r="C307" t="s">
        <v>624</v>
      </c>
    </row>
    <row r="308" spans="1:3" x14ac:dyDescent="0.55000000000000004">
      <c r="A308">
        <v>478</v>
      </c>
      <c r="B308" t="s">
        <v>625</v>
      </c>
      <c r="C308" t="s">
        <v>626</v>
      </c>
    </row>
    <row r="309" spans="1:3" x14ac:dyDescent="0.55000000000000004">
      <c r="A309">
        <v>479</v>
      </c>
      <c r="B309" t="s">
        <v>627</v>
      </c>
      <c r="C309" t="s">
        <v>628</v>
      </c>
    </row>
    <row r="310" spans="1:3" x14ac:dyDescent="0.55000000000000004">
      <c r="A310">
        <v>480</v>
      </c>
      <c r="B310" t="s">
        <v>629</v>
      </c>
      <c r="C310" t="s">
        <v>630</v>
      </c>
    </row>
    <row r="311" spans="1:3" x14ac:dyDescent="0.55000000000000004">
      <c r="A311">
        <v>484</v>
      </c>
      <c r="B311" t="s">
        <v>631</v>
      </c>
      <c r="C311" t="s">
        <v>632</v>
      </c>
    </row>
    <row r="312" spans="1:3" x14ac:dyDescent="0.55000000000000004">
      <c r="A312">
        <v>487</v>
      </c>
      <c r="B312" t="s">
        <v>633</v>
      </c>
      <c r="C312" t="s">
        <v>634</v>
      </c>
    </row>
    <row r="313" spans="1:3" x14ac:dyDescent="0.55000000000000004">
      <c r="A313">
        <v>488</v>
      </c>
      <c r="B313" t="s">
        <v>635</v>
      </c>
      <c r="C313" t="s">
        <v>636</v>
      </c>
    </row>
    <row r="314" spans="1:3" x14ac:dyDescent="0.55000000000000004">
      <c r="A314">
        <v>489</v>
      </c>
      <c r="B314" t="s">
        <v>637</v>
      </c>
      <c r="C314" t="s">
        <v>638</v>
      </c>
    </row>
    <row r="315" spans="1:3" x14ac:dyDescent="0.55000000000000004">
      <c r="A315">
        <v>490</v>
      </c>
      <c r="B315" t="s">
        <v>639</v>
      </c>
      <c r="C315" t="s">
        <v>640</v>
      </c>
    </row>
    <row r="316" spans="1:3" x14ac:dyDescent="0.55000000000000004">
      <c r="A316">
        <v>491</v>
      </c>
      <c r="B316" t="s">
        <v>641</v>
      </c>
      <c r="C316" t="s">
        <v>642</v>
      </c>
    </row>
    <row r="317" spans="1:3" x14ac:dyDescent="0.55000000000000004">
      <c r="A317">
        <v>492</v>
      </c>
      <c r="B317" t="s">
        <v>643</v>
      </c>
      <c r="C317" t="s">
        <v>644</v>
      </c>
    </row>
    <row r="318" spans="1:3" x14ac:dyDescent="0.55000000000000004">
      <c r="A318">
        <v>493</v>
      </c>
      <c r="B318" t="s">
        <v>645</v>
      </c>
      <c r="C318" t="s">
        <v>646</v>
      </c>
    </row>
    <row r="319" spans="1:3" x14ac:dyDescent="0.55000000000000004">
      <c r="A319">
        <v>496</v>
      </c>
      <c r="B319" t="s">
        <v>647</v>
      </c>
      <c r="C319" t="s">
        <v>648</v>
      </c>
    </row>
    <row r="320" spans="1:3" x14ac:dyDescent="0.55000000000000004">
      <c r="A320">
        <v>497</v>
      </c>
      <c r="B320" t="s">
        <v>649</v>
      </c>
      <c r="C320" t="s">
        <v>650</v>
      </c>
    </row>
    <row r="321" spans="1:3" x14ac:dyDescent="0.55000000000000004">
      <c r="A321">
        <v>498</v>
      </c>
      <c r="B321" t="s">
        <v>651</v>
      </c>
      <c r="C321" t="s">
        <v>652</v>
      </c>
    </row>
    <row r="322" spans="1:3" x14ac:dyDescent="0.55000000000000004">
      <c r="A322">
        <v>502</v>
      </c>
      <c r="B322" t="s">
        <v>653</v>
      </c>
      <c r="C322" t="s">
        <v>654</v>
      </c>
    </row>
    <row r="323" spans="1:3" x14ac:dyDescent="0.55000000000000004">
      <c r="A323">
        <v>504</v>
      </c>
      <c r="B323" t="s">
        <v>655</v>
      </c>
      <c r="C323" t="s">
        <v>656</v>
      </c>
    </row>
    <row r="324" spans="1:3" x14ac:dyDescent="0.55000000000000004">
      <c r="A324">
        <v>505</v>
      </c>
      <c r="B324" t="s">
        <v>657</v>
      </c>
      <c r="C324" t="s">
        <v>658</v>
      </c>
    </row>
    <row r="325" spans="1:3" x14ac:dyDescent="0.55000000000000004">
      <c r="A325">
        <v>506</v>
      </c>
      <c r="B325" t="s">
        <v>659</v>
      </c>
      <c r="C325" t="s">
        <v>660</v>
      </c>
    </row>
    <row r="326" spans="1:3" x14ac:dyDescent="0.55000000000000004">
      <c r="A326">
        <v>507</v>
      </c>
      <c r="B326" t="s">
        <v>661</v>
      </c>
      <c r="C326" t="s">
        <v>662</v>
      </c>
    </row>
    <row r="327" spans="1:3" x14ac:dyDescent="0.55000000000000004">
      <c r="A327">
        <v>508</v>
      </c>
      <c r="B327" t="s">
        <v>663</v>
      </c>
      <c r="C327" t="s">
        <v>664</v>
      </c>
    </row>
    <row r="328" spans="1:3" x14ac:dyDescent="0.55000000000000004">
      <c r="A328">
        <v>509</v>
      </c>
      <c r="B328" t="s">
        <v>665</v>
      </c>
      <c r="C328" t="s">
        <v>666</v>
      </c>
    </row>
    <row r="329" spans="1:3" x14ac:dyDescent="0.55000000000000004">
      <c r="A329">
        <v>510</v>
      </c>
      <c r="B329" t="s">
        <v>667</v>
      </c>
      <c r="C329" t="s">
        <v>668</v>
      </c>
    </row>
    <row r="330" spans="1:3" x14ac:dyDescent="0.55000000000000004">
      <c r="A330">
        <v>511</v>
      </c>
      <c r="B330" t="s">
        <v>669</v>
      </c>
      <c r="C330" t="s">
        <v>670</v>
      </c>
    </row>
    <row r="331" spans="1:3" x14ac:dyDescent="0.55000000000000004">
      <c r="A331">
        <v>514</v>
      </c>
      <c r="B331" t="s">
        <v>671</v>
      </c>
      <c r="C331" t="s">
        <v>672</v>
      </c>
    </row>
    <row r="332" spans="1:3" x14ac:dyDescent="0.55000000000000004">
      <c r="A332">
        <v>515</v>
      </c>
      <c r="B332" t="s">
        <v>673</v>
      </c>
      <c r="C332" t="s">
        <v>674</v>
      </c>
    </row>
    <row r="333" spans="1:3" x14ac:dyDescent="0.55000000000000004">
      <c r="A333">
        <v>516</v>
      </c>
      <c r="B333" t="s">
        <v>675</v>
      </c>
      <c r="C333" t="s">
        <v>676</v>
      </c>
    </row>
    <row r="334" spans="1:3" x14ac:dyDescent="0.55000000000000004">
      <c r="A334">
        <v>520</v>
      </c>
      <c r="B334" t="s">
        <v>677</v>
      </c>
      <c r="C334" t="s">
        <v>678</v>
      </c>
    </row>
    <row r="335" spans="1:3" x14ac:dyDescent="0.55000000000000004">
      <c r="A335">
        <v>523</v>
      </c>
      <c r="B335" t="s">
        <v>679</v>
      </c>
      <c r="C335" t="s">
        <v>680</v>
      </c>
    </row>
    <row r="336" spans="1:3" x14ac:dyDescent="0.55000000000000004">
      <c r="A336">
        <v>526</v>
      </c>
      <c r="B336" t="s">
        <v>681</v>
      </c>
      <c r="C336" t="s">
        <v>682</v>
      </c>
    </row>
    <row r="337" spans="1:3" x14ac:dyDescent="0.55000000000000004">
      <c r="A337">
        <v>527</v>
      </c>
      <c r="B337" t="s">
        <v>683</v>
      </c>
      <c r="C337" t="s">
        <v>684</v>
      </c>
    </row>
    <row r="338" spans="1:3" x14ac:dyDescent="0.55000000000000004">
      <c r="A338">
        <v>528</v>
      </c>
      <c r="B338" t="s">
        <v>685</v>
      </c>
      <c r="C338" t="s">
        <v>686</v>
      </c>
    </row>
    <row r="339" spans="1:3" x14ac:dyDescent="0.55000000000000004">
      <c r="A339">
        <v>529</v>
      </c>
      <c r="B339" t="s">
        <v>687</v>
      </c>
      <c r="C339" t="s">
        <v>688</v>
      </c>
    </row>
    <row r="340" spans="1:3" x14ac:dyDescent="0.55000000000000004">
      <c r="A340">
        <v>532</v>
      </c>
      <c r="B340" t="s">
        <v>689</v>
      </c>
      <c r="C340" t="s">
        <v>690</v>
      </c>
    </row>
    <row r="341" spans="1:3" x14ac:dyDescent="0.55000000000000004">
      <c r="A341">
        <v>533</v>
      </c>
      <c r="B341" t="s">
        <v>691</v>
      </c>
      <c r="C341" t="s">
        <v>692</v>
      </c>
    </row>
    <row r="342" spans="1:3" x14ac:dyDescent="0.55000000000000004">
      <c r="A342">
        <v>534</v>
      </c>
      <c r="B342" t="s">
        <v>693</v>
      </c>
      <c r="C342" t="s">
        <v>694</v>
      </c>
    </row>
    <row r="343" spans="1:3" x14ac:dyDescent="0.55000000000000004">
      <c r="A343">
        <v>538</v>
      </c>
      <c r="B343" t="s">
        <v>695</v>
      </c>
      <c r="C343" t="s">
        <v>696</v>
      </c>
    </row>
    <row r="344" spans="1:3" x14ac:dyDescent="0.55000000000000004">
      <c r="A344">
        <v>541</v>
      </c>
      <c r="B344" t="s">
        <v>697</v>
      </c>
      <c r="C344" t="s">
        <v>698</v>
      </c>
    </row>
    <row r="345" spans="1:3" x14ac:dyDescent="0.55000000000000004">
      <c r="A345">
        <v>542</v>
      </c>
      <c r="B345" t="s">
        <v>699</v>
      </c>
      <c r="C345" t="s">
        <v>700</v>
      </c>
    </row>
    <row r="346" spans="1:3" x14ac:dyDescent="0.55000000000000004">
      <c r="A346">
        <v>543</v>
      </c>
      <c r="B346" t="s">
        <v>701</v>
      </c>
      <c r="C346" t="s">
        <v>702</v>
      </c>
    </row>
    <row r="347" spans="1:3" x14ac:dyDescent="0.55000000000000004">
      <c r="A347">
        <v>544</v>
      </c>
      <c r="B347" t="s">
        <v>703</v>
      </c>
      <c r="C347" t="s">
        <v>704</v>
      </c>
    </row>
    <row r="348" spans="1:3" x14ac:dyDescent="0.55000000000000004">
      <c r="A348">
        <v>545</v>
      </c>
      <c r="B348" t="s">
        <v>705</v>
      </c>
      <c r="C348" t="s">
        <v>706</v>
      </c>
    </row>
    <row r="349" spans="1:3" x14ac:dyDescent="0.55000000000000004">
      <c r="A349">
        <v>546</v>
      </c>
      <c r="B349" t="s">
        <v>707</v>
      </c>
      <c r="C349" t="s">
        <v>708</v>
      </c>
    </row>
    <row r="350" spans="1:3" x14ac:dyDescent="0.55000000000000004">
      <c r="A350">
        <v>547</v>
      </c>
      <c r="B350" t="s">
        <v>709</v>
      </c>
      <c r="C350" t="s">
        <v>710</v>
      </c>
    </row>
    <row r="351" spans="1:3" x14ac:dyDescent="0.55000000000000004">
      <c r="A351">
        <v>550</v>
      </c>
      <c r="B351" t="s">
        <v>711</v>
      </c>
      <c r="C351" t="s">
        <v>712</v>
      </c>
    </row>
    <row r="352" spans="1:3" x14ac:dyDescent="0.55000000000000004">
      <c r="A352">
        <v>551</v>
      </c>
      <c r="B352" t="s">
        <v>713</v>
      </c>
      <c r="C352" t="s">
        <v>714</v>
      </c>
    </row>
    <row r="353" spans="1:3" x14ac:dyDescent="0.55000000000000004">
      <c r="A353">
        <v>552</v>
      </c>
      <c r="B353" t="s">
        <v>715</v>
      </c>
      <c r="C353" t="s">
        <v>716</v>
      </c>
    </row>
    <row r="354" spans="1:3" x14ac:dyDescent="0.55000000000000004">
      <c r="A354">
        <v>556</v>
      </c>
      <c r="B354" t="s">
        <v>717</v>
      </c>
      <c r="C354" t="s">
        <v>718</v>
      </c>
    </row>
    <row r="355" spans="1:3" x14ac:dyDescent="0.55000000000000004">
      <c r="A355">
        <v>559</v>
      </c>
      <c r="B355" t="s">
        <v>719</v>
      </c>
      <c r="C355" t="s">
        <v>720</v>
      </c>
    </row>
    <row r="356" spans="1:3" x14ac:dyDescent="0.55000000000000004">
      <c r="A356">
        <v>560</v>
      </c>
      <c r="B356" t="s">
        <v>721</v>
      </c>
      <c r="C356" t="s">
        <v>722</v>
      </c>
    </row>
    <row r="357" spans="1:3" x14ac:dyDescent="0.55000000000000004">
      <c r="A357">
        <v>561</v>
      </c>
      <c r="B357" t="s">
        <v>723</v>
      </c>
      <c r="C357" t="s">
        <v>724</v>
      </c>
    </row>
    <row r="358" spans="1:3" x14ac:dyDescent="0.55000000000000004">
      <c r="A358">
        <v>562</v>
      </c>
      <c r="B358" t="s">
        <v>725</v>
      </c>
      <c r="C358" t="s">
        <v>726</v>
      </c>
    </row>
    <row r="359" spans="1:3" x14ac:dyDescent="0.55000000000000004">
      <c r="A359">
        <v>563</v>
      </c>
      <c r="B359" t="s">
        <v>727</v>
      </c>
      <c r="C359" t="s">
        <v>728</v>
      </c>
    </row>
    <row r="360" spans="1:3" x14ac:dyDescent="0.55000000000000004">
      <c r="A360">
        <v>564</v>
      </c>
      <c r="B360" t="s">
        <v>729</v>
      </c>
      <c r="C360" t="s">
        <v>730</v>
      </c>
    </row>
    <row r="361" spans="1:3" x14ac:dyDescent="0.55000000000000004">
      <c r="A361">
        <v>565</v>
      </c>
      <c r="B361" t="s">
        <v>731</v>
      </c>
      <c r="C361" t="s">
        <v>732</v>
      </c>
    </row>
    <row r="362" spans="1:3" x14ac:dyDescent="0.55000000000000004">
      <c r="A362">
        <v>568</v>
      </c>
      <c r="B362" t="s">
        <v>733</v>
      </c>
      <c r="C362" t="s">
        <v>734</v>
      </c>
    </row>
    <row r="363" spans="1:3" x14ac:dyDescent="0.55000000000000004">
      <c r="A363">
        <v>569</v>
      </c>
      <c r="B363" t="s">
        <v>735</v>
      </c>
      <c r="C363" t="s">
        <v>736</v>
      </c>
    </row>
    <row r="364" spans="1:3" x14ac:dyDescent="0.55000000000000004">
      <c r="A364">
        <v>570</v>
      </c>
      <c r="B364" t="s">
        <v>737</v>
      </c>
      <c r="C364" t="s">
        <v>738</v>
      </c>
    </row>
    <row r="365" spans="1:3" x14ac:dyDescent="0.55000000000000004">
      <c r="A365">
        <v>574</v>
      </c>
      <c r="B365" t="s">
        <v>739</v>
      </c>
      <c r="C365" t="s">
        <v>740</v>
      </c>
    </row>
    <row r="366" spans="1:3" x14ac:dyDescent="0.55000000000000004">
      <c r="A366">
        <v>577</v>
      </c>
      <c r="B366" t="s">
        <v>741</v>
      </c>
      <c r="C366" t="s">
        <v>742</v>
      </c>
    </row>
    <row r="367" spans="1:3" x14ac:dyDescent="0.55000000000000004">
      <c r="A367">
        <v>578</v>
      </c>
      <c r="B367" t="s">
        <v>743</v>
      </c>
      <c r="C367" t="s">
        <v>744</v>
      </c>
    </row>
    <row r="368" spans="1:3" x14ac:dyDescent="0.55000000000000004">
      <c r="A368">
        <v>579</v>
      </c>
      <c r="B368" t="s">
        <v>745</v>
      </c>
      <c r="C368" t="s">
        <v>746</v>
      </c>
    </row>
    <row r="369" spans="1:3" x14ac:dyDescent="0.55000000000000004">
      <c r="A369">
        <v>580</v>
      </c>
      <c r="B369" t="s">
        <v>747</v>
      </c>
      <c r="C369" t="s">
        <v>748</v>
      </c>
    </row>
    <row r="370" spans="1:3" x14ac:dyDescent="0.55000000000000004">
      <c r="A370">
        <v>581</v>
      </c>
      <c r="B370" t="s">
        <v>749</v>
      </c>
      <c r="C370" t="s">
        <v>750</v>
      </c>
    </row>
    <row r="371" spans="1:3" x14ac:dyDescent="0.55000000000000004">
      <c r="A371">
        <v>582</v>
      </c>
      <c r="B371" t="s">
        <v>751</v>
      </c>
      <c r="C371" t="s">
        <v>752</v>
      </c>
    </row>
    <row r="372" spans="1:3" x14ac:dyDescent="0.55000000000000004">
      <c r="A372">
        <v>583</v>
      </c>
      <c r="B372" t="s">
        <v>753</v>
      </c>
      <c r="C372" t="s">
        <v>754</v>
      </c>
    </row>
    <row r="373" spans="1:3" x14ac:dyDescent="0.55000000000000004">
      <c r="A373">
        <v>586</v>
      </c>
      <c r="B373" t="s">
        <v>755</v>
      </c>
      <c r="C373" t="s">
        <v>756</v>
      </c>
    </row>
    <row r="374" spans="1:3" x14ac:dyDescent="0.55000000000000004">
      <c r="A374">
        <v>587</v>
      </c>
      <c r="B374" t="s">
        <v>757</v>
      </c>
      <c r="C374" t="s">
        <v>758</v>
      </c>
    </row>
    <row r="375" spans="1:3" x14ac:dyDescent="0.55000000000000004">
      <c r="A375">
        <v>588</v>
      </c>
      <c r="B375" t="s">
        <v>759</v>
      </c>
      <c r="C375" t="s">
        <v>760</v>
      </c>
    </row>
    <row r="376" spans="1:3" x14ac:dyDescent="0.55000000000000004">
      <c r="A376">
        <v>592</v>
      </c>
      <c r="B376" t="s">
        <v>761</v>
      </c>
      <c r="C376" t="s">
        <v>762</v>
      </c>
    </row>
    <row r="377" spans="1:3" x14ac:dyDescent="0.55000000000000004">
      <c r="A377">
        <v>595</v>
      </c>
      <c r="B377" t="s">
        <v>763</v>
      </c>
      <c r="C377" t="s">
        <v>764</v>
      </c>
    </row>
    <row r="378" spans="1:3" x14ac:dyDescent="0.55000000000000004">
      <c r="A378">
        <v>596</v>
      </c>
      <c r="B378" t="s">
        <v>765</v>
      </c>
      <c r="C378" t="s">
        <v>766</v>
      </c>
    </row>
    <row r="379" spans="1:3" x14ac:dyDescent="0.55000000000000004">
      <c r="A379">
        <v>597</v>
      </c>
      <c r="B379" t="s">
        <v>767</v>
      </c>
      <c r="C379" t="s">
        <v>768</v>
      </c>
    </row>
    <row r="380" spans="1:3" x14ac:dyDescent="0.55000000000000004">
      <c r="A380">
        <v>598</v>
      </c>
      <c r="B380" t="s">
        <v>769</v>
      </c>
      <c r="C380" t="s">
        <v>770</v>
      </c>
    </row>
    <row r="381" spans="1:3" x14ac:dyDescent="0.55000000000000004">
      <c r="A381">
        <v>599</v>
      </c>
      <c r="B381" t="s">
        <v>771</v>
      </c>
      <c r="C381" t="s">
        <v>772</v>
      </c>
    </row>
    <row r="382" spans="1:3" x14ac:dyDescent="0.55000000000000004">
      <c r="A382">
        <v>600</v>
      </c>
      <c r="B382" t="s">
        <v>773</v>
      </c>
      <c r="C382" t="s">
        <v>774</v>
      </c>
    </row>
    <row r="383" spans="1:3" x14ac:dyDescent="0.55000000000000004">
      <c r="A383">
        <v>601</v>
      </c>
      <c r="B383" t="s">
        <v>775</v>
      </c>
      <c r="C383" t="s">
        <v>776</v>
      </c>
    </row>
    <row r="384" spans="1:3" x14ac:dyDescent="0.55000000000000004">
      <c r="A384">
        <v>604</v>
      </c>
      <c r="B384" t="s">
        <v>777</v>
      </c>
      <c r="C384" t="s">
        <v>778</v>
      </c>
    </row>
    <row r="385" spans="1:3" x14ac:dyDescent="0.55000000000000004">
      <c r="A385">
        <v>605</v>
      </c>
      <c r="B385" t="s">
        <v>779</v>
      </c>
      <c r="C385" t="s">
        <v>780</v>
      </c>
    </row>
    <row r="386" spans="1:3" x14ac:dyDescent="0.55000000000000004">
      <c r="A386">
        <v>606</v>
      </c>
      <c r="B386" t="s">
        <v>781</v>
      </c>
      <c r="C386" t="s">
        <v>782</v>
      </c>
    </row>
    <row r="387" spans="1:3" x14ac:dyDescent="0.55000000000000004">
      <c r="A387">
        <v>607</v>
      </c>
      <c r="B387" t="s">
        <v>783</v>
      </c>
      <c r="C387" t="s">
        <v>784</v>
      </c>
    </row>
    <row r="388" spans="1:3" x14ac:dyDescent="0.55000000000000004">
      <c r="A388">
        <v>608</v>
      </c>
      <c r="B388" t="s">
        <v>785</v>
      </c>
      <c r="C388" t="s">
        <v>786</v>
      </c>
    </row>
    <row r="389" spans="1:3" x14ac:dyDescent="0.55000000000000004">
      <c r="A389">
        <v>609</v>
      </c>
      <c r="B389" t="s">
        <v>787</v>
      </c>
      <c r="C389" t="s">
        <v>788</v>
      </c>
    </row>
    <row r="390" spans="1:3" x14ac:dyDescent="0.55000000000000004">
      <c r="A390">
        <v>610</v>
      </c>
      <c r="B390" t="s">
        <v>789</v>
      </c>
      <c r="C390" t="s">
        <v>790</v>
      </c>
    </row>
    <row r="391" spans="1:3" x14ac:dyDescent="0.55000000000000004">
      <c r="A391">
        <v>613</v>
      </c>
      <c r="B391" t="s">
        <v>791</v>
      </c>
      <c r="C391" t="s">
        <v>792</v>
      </c>
    </row>
    <row r="392" spans="1:3" x14ac:dyDescent="0.55000000000000004">
      <c r="A392">
        <v>617</v>
      </c>
      <c r="B392" t="s">
        <v>793</v>
      </c>
      <c r="C392" t="s">
        <v>794</v>
      </c>
    </row>
    <row r="393" spans="1:3" x14ac:dyDescent="0.55000000000000004">
      <c r="A393">
        <v>620</v>
      </c>
      <c r="B393" t="s">
        <v>795</v>
      </c>
      <c r="C393" t="s">
        <v>796</v>
      </c>
    </row>
    <row r="394" spans="1:3" x14ac:dyDescent="0.55000000000000004">
      <c r="A394">
        <v>621</v>
      </c>
      <c r="B394" t="s">
        <v>797</v>
      </c>
      <c r="C394" t="s">
        <v>798</v>
      </c>
    </row>
    <row r="395" spans="1:3" x14ac:dyDescent="0.55000000000000004">
      <c r="A395">
        <v>622</v>
      </c>
      <c r="B395" t="s">
        <v>799</v>
      </c>
      <c r="C395" t="s">
        <v>800</v>
      </c>
    </row>
    <row r="396" spans="1:3" x14ac:dyDescent="0.55000000000000004">
      <c r="A396">
        <v>623</v>
      </c>
      <c r="B396" t="s">
        <v>801</v>
      </c>
      <c r="C396" t="s">
        <v>802</v>
      </c>
    </row>
    <row r="397" spans="1:3" x14ac:dyDescent="0.55000000000000004">
      <c r="A397">
        <v>624</v>
      </c>
      <c r="B397" t="s">
        <v>803</v>
      </c>
      <c r="C397" t="s">
        <v>804</v>
      </c>
    </row>
    <row r="398" spans="1:3" x14ac:dyDescent="0.55000000000000004">
      <c r="A398">
        <v>625</v>
      </c>
      <c r="B398" t="s">
        <v>805</v>
      </c>
      <c r="C398" t="s">
        <v>806</v>
      </c>
    </row>
    <row r="399" spans="1:3" x14ac:dyDescent="0.55000000000000004">
      <c r="A399">
        <v>626</v>
      </c>
      <c r="B399" t="s">
        <v>807</v>
      </c>
      <c r="C399" t="s">
        <v>808</v>
      </c>
    </row>
    <row r="400" spans="1:3" x14ac:dyDescent="0.55000000000000004">
      <c r="A400">
        <v>629</v>
      </c>
      <c r="B400" t="s">
        <v>809</v>
      </c>
      <c r="C400" t="s">
        <v>810</v>
      </c>
    </row>
    <row r="401" spans="1:3" x14ac:dyDescent="0.55000000000000004">
      <c r="A401">
        <v>630</v>
      </c>
      <c r="B401" t="s">
        <v>811</v>
      </c>
      <c r="C401" t="s">
        <v>812</v>
      </c>
    </row>
    <row r="402" spans="1:3" x14ac:dyDescent="0.55000000000000004">
      <c r="A402">
        <v>631</v>
      </c>
      <c r="B402" t="s">
        <v>813</v>
      </c>
      <c r="C402" t="s">
        <v>814</v>
      </c>
    </row>
    <row r="403" spans="1:3" x14ac:dyDescent="0.55000000000000004">
      <c r="A403">
        <v>635</v>
      </c>
      <c r="B403" t="s">
        <v>815</v>
      </c>
      <c r="C403" t="s">
        <v>816</v>
      </c>
    </row>
    <row r="404" spans="1:3" x14ac:dyDescent="0.55000000000000004">
      <c r="A404">
        <v>637</v>
      </c>
      <c r="B404" t="s">
        <v>817</v>
      </c>
      <c r="C404" t="s">
        <v>818</v>
      </c>
    </row>
    <row r="405" spans="1:3" x14ac:dyDescent="0.55000000000000004">
      <c r="A405">
        <v>641</v>
      </c>
      <c r="B405" t="s">
        <v>819</v>
      </c>
      <c r="C405" t="s">
        <v>820</v>
      </c>
    </row>
    <row r="406" spans="1:3" x14ac:dyDescent="0.55000000000000004">
      <c r="A406">
        <v>643</v>
      </c>
      <c r="B406" t="s">
        <v>821</v>
      </c>
      <c r="C406" t="s">
        <v>822</v>
      </c>
    </row>
    <row r="407" spans="1:3" x14ac:dyDescent="0.55000000000000004">
      <c r="A407">
        <v>644</v>
      </c>
      <c r="B407" t="s">
        <v>823</v>
      </c>
      <c r="C407" t="s">
        <v>824</v>
      </c>
    </row>
    <row r="408" spans="1:3" x14ac:dyDescent="0.55000000000000004">
      <c r="A408">
        <v>645</v>
      </c>
      <c r="B408" t="s">
        <v>825</v>
      </c>
      <c r="C408" t="s">
        <v>826</v>
      </c>
    </row>
    <row r="409" spans="1:3" x14ac:dyDescent="0.55000000000000004">
      <c r="A409">
        <v>646</v>
      </c>
      <c r="B409" t="s">
        <v>827</v>
      </c>
      <c r="C409" t="s">
        <v>828</v>
      </c>
    </row>
    <row r="410" spans="1:3" x14ac:dyDescent="0.55000000000000004">
      <c r="A410">
        <v>647</v>
      </c>
      <c r="B410" t="s">
        <v>829</v>
      </c>
      <c r="C410" t="s">
        <v>830</v>
      </c>
    </row>
    <row r="411" spans="1:3" x14ac:dyDescent="0.55000000000000004">
      <c r="A411">
        <v>648</v>
      </c>
      <c r="B411" t="s">
        <v>831</v>
      </c>
      <c r="C411" t="s">
        <v>832</v>
      </c>
    </row>
    <row r="412" spans="1:3" x14ac:dyDescent="0.55000000000000004">
      <c r="A412">
        <v>649</v>
      </c>
      <c r="B412" t="s">
        <v>833</v>
      </c>
      <c r="C412" t="s">
        <v>834</v>
      </c>
    </row>
    <row r="413" spans="1:3" x14ac:dyDescent="0.55000000000000004">
      <c r="A413">
        <v>650</v>
      </c>
      <c r="B413" t="s">
        <v>835</v>
      </c>
      <c r="C413" t="s">
        <v>836</v>
      </c>
    </row>
    <row r="414" spans="1:3" x14ac:dyDescent="0.55000000000000004">
      <c r="A414">
        <v>653</v>
      </c>
      <c r="B414" t="s">
        <v>837</v>
      </c>
      <c r="C414" t="s">
        <v>838</v>
      </c>
    </row>
    <row r="415" spans="1:3" x14ac:dyDescent="0.55000000000000004">
      <c r="A415">
        <v>654</v>
      </c>
      <c r="B415" t="s">
        <v>839</v>
      </c>
      <c r="C415" t="s">
        <v>840</v>
      </c>
    </row>
    <row r="416" spans="1:3" x14ac:dyDescent="0.55000000000000004">
      <c r="A416">
        <v>655</v>
      </c>
      <c r="B416" t="s">
        <v>841</v>
      </c>
      <c r="C416" t="s">
        <v>842</v>
      </c>
    </row>
    <row r="417" spans="1:3" x14ac:dyDescent="0.55000000000000004">
      <c r="A417">
        <v>659</v>
      </c>
      <c r="B417" t="s">
        <v>843</v>
      </c>
      <c r="C417" t="s">
        <v>844</v>
      </c>
    </row>
    <row r="418" spans="1:3" x14ac:dyDescent="0.55000000000000004">
      <c r="A418">
        <v>660</v>
      </c>
      <c r="B418" t="s">
        <v>845</v>
      </c>
      <c r="C418" t="s">
        <v>846</v>
      </c>
    </row>
    <row r="419" spans="1:3" x14ac:dyDescent="0.55000000000000004">
      <c r="A419">
        <v>661</v>
      </c>
      <c r="B419" t="s">
        <v>847</v>
      </c>
      <c r="C419" t="s">
        <v>848</v>
      </c>
    </row>
    <row r="420" spans="1:3" x14ac:dyDescent="0.55000000000000004">
      <c r="A420">
        <v>665</v>
      </c>
      <c r="B420" t="s">
        <v>849</v>
      </c>
      <c r="C420" t="s">
        <v>850</v>
      </c>
    </row>
    <row r="421" spans="1:3" x14ac:dyDescent="0.55000000000000004">
      <c r="A421">
        <v>668</v>
      </c>
      <c r="B421" t="s">
        <v>851</v>
      </c>
      <c r="C421" t="s">
        <v>852</v>
      </c>
    </row>
    <row r="422" spans="1:3" x14ac:dyDescent="0.55000000000000004">
      <c r="A422">
        <v>669</v>
      </c>
      <c r="B422" t="s">
        <v>853</v>
      </c>
      <c r="C422" t="s">
        <v>854</v>
      </c>
    </row>
    <row r="423" spans="1:3" x14ac:dyDescent="0.55000000000000004">
      <c r="A423">
        <v>670</v>
      </c>
      <c r="B423" t="s">
        <v>855</v>
      </c>
      <c r="C423" t="s">
        <v>856</v>
      </c>
    </row>
    <row r="424" spans="1:3" x14ac:dyDescent="0.55000000000000004">
      <c r="A424">
        <v>671</v>
      </c>
      <c r="B424" t="s">
        <v>857</v>
      </c>
      <c r="C424" t="s">
        <v>858</v>
      </c>
    </row>
    <row r="425" spans="1:3" x14ac:dyDescent="0.55000000000000004">
      <c r="A425">
        <v>672</v>
      </c>
      <c r="B425" t="s">
        <v>859</v>
      </c>
      <c r="C425" t="s">
        <v>860</v>
      </c>
    </row>
    <row r="426" spans="1:3" x14ac:dyDescent="0.55000000000000004">
      <c r="A426">
        <v>673</v>
      </c>
      <c r="B426" t="s">
        <v>861</v>
      </c>
      <c r="C426" t="s">
        <v>862</v>
      </c>
    </row>
    <row r="427" spans="1:3" x14ac:dyDescent="0.55000000000000004">
      <c r="A427">
        <v>674</v>
      </c>
      <c r="B427" t="s">
        <v>863</v>
      </c>
      <c r="C427" t="s">
        <v>864</v>
      </c>
    </row>
    <row r="428" spans="1:3" x14ac:dyDescent="0.55000000000000004">
      <c r="A428">
        <v>677</v>
      </c>
      <c r="B428" t="s">
        <v>865</v>
      </c>
      <c r="C428" t="s">
        <v>866</v>
      </c>
    </row>
    <row r="429" spans="1:3" x14ac:dyDescent="0.55000000000000004">
      <c r="A429">
        <v>678</v>
      </c>
      <c r="B429" t="s">
        <v>867</v>
      </c>
      <c r="C429" t="s">
        <v>868</v>
      </c>
    </row>
    <row r="430" spans="1:3" x14ac:dyDescent="0.55000000000000004">
      <c r="A430">
        <v>679</v>
      </c>
      <c r="B430" t="s">
        <v>869</v>
      </c>
      <c r="C430" t="s">
        <v>870</v>
      </c>
    </row>
    <row r="431" spans="1:3" x14ac:dyDescent="0.55000000000000004">
      <c r="A431">
        <v>683</v>
      </c>
      <c r="B431" t="s">
        <v>871</v>
      </c>
      <c r="C431" t="s">
        <v>872</v>
      </c>
    </row>
    <row r="432" spans="1:3" x14ac:dyDescent="0.55000000000000004">
      <c r="A432">
        <v>685</v>
      </c>
      <c r="B432" t="s">
        <v>873</v>
      </c>
      <c r="C432" t="s">
        <v>874</v>
      </c>
    </row>
    <row r="433" spans="1:6" x14ac:dyDescent="0.55000000000000004">
      <c r="A433">
        <v>689</v>
      </c>
      <c r="B433" t="s">
        <v>875</v>
      </c>
      <c r="C433" t="s">
        <v>876</v>
      </c>
    </row>
    <row r="434" spans="1:6" x14ac:dyDescent="0.55000000000000004">
      <c r="A434">
        <v>692</v>
      </c>
      <c r="B434" t="s">
        <v>877</v>
      </c>
      <c r="C434" t="s">
        <v>878</v>
      </c>
    </row>
    <row r="435" spans="1:6" x14ac:dyDescent="0.55000000000000004">
      <c r="A435">
        <v>693</v>
      </c>
      <c r="B435" t="s">
        <v>879</v>
      </c>
      <c r="C435" t="s">
        <v>880</v>
      </c>
    </row>
    <row r="436" spans="1:6" x14ac:dyDescent="0.55000000000000004">
      <c r="A436">
        <v>694</v>
      </c>
      <c r="B436" t="s">
        <v>881</v>
      </c>
      <c r="C436" t="s">
        <v>882</v>
      </c>
    </row>
    <row r="437" spans="1:6" x14ac:dyDescent="0.55000000000000004">
      <c r="A437">
        <v>695</v>
      </c>
      <c r="B437" t="s">
        <v>883</v>
      </c>
      <c r="C437" t="s">
        <v>884</v>
      </c>
    </row>
    <row r="438" spans="1:6" x14ac:dyDescent="0.55000000000000004">
      <c r="A438">
        <v>696</v>
      </c>
      <c r="B438" t="s">
        <v>885</v>
      </c>
      <c r="C438" t="s">
        <v>886</v>
      </c>
    </row>
    <row r="439" spans="1:6" x14ac:dyDescent="0.55000000000000004">
      <c r="A439">
        <v>697</v>
      </c>
      <c r="B439" t="s">
        <v>887</v>
      </c>
      <c r="C439" t="s">
        <v>888</v>
      </c>
    </row>
    <row r="440" spans="1:6" x14ac:dyDescent="0.55000000000000004">
      <c r="A440">
        <v>698</v>
      </c>
      <c r="B440" t="s">
        <v>889</v>
      </c>
      <c r="C440" t="s">
        <v>890</v>
      </c>
    </row>
    <row r="441" spans="1:6" x14ac:dyDescent="0.55000000000000004">
      <c r="A441">
        <v>701</v>
      </c>
      <c r="B441" t="s">
        <v>891</v>
      </c>
      <c r="C441" t="s">
        <v>892</v>
      </c>
    </row>
    <row r="442" spans="1:6" x14ac:dyDescent="0.55000000000000004">
      <c r="A442">
        <v>29485</v>
      </c>
      <c r="B442" t="s">
        <v>751</v>
      </c>
      <c r="C442" t="s">
        <v>752</v>
      </c>
      <c r="D442" t="s">
        <v>893</v>
      </c>
      <c r="E442" t="s">
        <v>894</v>
      </c>
      <c r="F442" t="s">
        <v>895</v>
      </c>
    </row>
    <row r="443" spans="1:6" x14ac:dyDescent="0.55000000000000004">
      <c r="A443">
        <v>29489</v>
      </c>
      <c r="B443" t="s">
        <v>641</v>
      </c>
      <c r="C443" t="s">
        <v>642</v>
      </c>
      <c r="D443" t="s">
        <v>896</v>
      </c>
      <c r="E443" t="s">
        <v>894</v>
      </c>
      <c r="F443" t="s">
        <v>895</v>
      </c>
    </row>
    <row r="444" spans="1:6" x14ac:dyDescent="0.55000000000000004">
      <c r="A444">
        <v>29522</v>
      </c>
      <c r="B444" t="s">
        <v>411</v>
      </c>
      <c r="C444" t="s">
        <v>412</v>
      </c>
      <c r="D444" t="s">
        <v>897</v>
      </c>
      <c r="E444" t="s">
        <v>894</v>
      </c>
      <c r="F444" t="s">
        <v>895</v>
      </c>
    </row>
    <row r="445" spans="1:6" x14ac:dyDescent="0.55000000000000004">
      <c r="A445">
        <v>29525</v>
      </c>
      <c r="B445" t="s">
        <v>481</v>
      </c>
      <c r="C445" t="s">
        <v>482</v>
      </c>
      <c r="D445" t="s">
        <v>898</v>
      </c>
      <c r="E445" t="s">
        <v>894</v>
      </c>
      <c r="F445" t="s">
        <v>895</v>
      </c>
    </row>
    <row r="446" spans="1:6" x14ac:dyDescent="0.55000000000000004">
      <c r="A446">
        <v>29560</v>
      </c>
      <c r="B446" t="s">
        <v>337</v>
      </c>
      <c r="C446" t="s">
        <v>338</v>
      </c>
      <c r="D446" t="s">
        <v>899</v>
      </c>
      <c r="E446" t="s">
        <v>894</v>
      </c>
      <c r="F446" t="s">
        <v>895</v>
      </c>
    </row>
    <row r="447" spans="1:6" x14ac:dyDescent="0.55000000000000004">
      <c r="A447">
        <v>29562</v>
      </c>
      <c r="B447" t="s">
        <v>785</v>
      </c>
      <c r="C447" t="s">
        <v>786</v>
      </c>
      <c r="D447" t="s">
        <v>900</v>
      </c>
      <c r="E447" t="s">
        <v>894</v>
      </c>
      <c r="F447" t="s">
        <v>895</v>
      </c>
    </row>
    <row r="448" spans="1:6" x14ac:dyDescent="0.55000000000000004">
      <c r="A448">
        <v>29565</v>
      </c>
      <c r="B448" t="s">
        <v>667</v>
      </c>
      <c r="C448" t="s">
        <v>668</v>
      </c>
      <c r="D448" t="s">
        <v>901</v>
      </c>
      <c r="E448" t="s">
        <v>894</v>
      </c>
      <c r="F448" t="s">
        <v>895</v>
      </c>
    </row>
    <row r="449" spans="1:6" x14ac:dyDescent="0.55000000000000004">
      <c r="A449">
        <v>29568</v>
      </c>
      <c r="B449" t="s">
        <v>49</v>
      </c>
      <c r="C449" t="s">
        <v>50</v>
      </c>
      <c r="D449" t="s">
        <v>902</v>
      </c>
      <c r="E449" t="s">
        <v>894</v>
      </c>
      <c r="F449" t="s">
        <v>895</v>
      </c>
    </row>
    <row r="450" spans="1:6" x14ac:dyDescent="0.55000000000000004">
      <c r="A450">
        <v>29573</v>
      </c>
      <c r="B450" t="s">
        <v>223</v>
      </c>
      <c r="C450" t="s">
        <v>224</v>
      </c>
      <c r="D450" t="s">
        <v>903</v>
      </c>
      <c r="E450" t="s">
        <v>894</v>
      </c>
      <c r="F450" t="s">
        <v>895</v>
      </c>
    </row>
    <row r="451" spans="1:6" x14ac:dyDescent="0.55000000000000004">
      <c r="A451">
        <v>29584</v>
      </c>
      <c r="B451" t="s">
        <v>203</v>
      </c>
      <c r="C451" t="s">
        <v>204</v>
      </c>
      <c r="D451" t="s">
        <v>897</v>
      </c>
      <c r="E451" t="s">
        <v>894</v>
      </c>
      <c r="F451" t="s">
        <v>895</v>
      </c>
    </row>
    <row r="452" spans="1:6" x14ac:dyDescent="0.55000000000000004">
      <c r="A452">
        <v>29598</v>
      </c>
      <c r="B452" t="s">
        <v>111</v>
      </c>
      <c r="C452" t="s">
        <v>112</v>
      </c>
      <c r="D452" t="s">
        <v>904</v>
      </c>
      <c r="E452" t="s">
        <v>894</v>
      </c>
      <c r="F452" t="s">
        <v>895</v>
      </c>
    </row>
    <row r="453" spans="1:6" x14ac:dyDescent="0.55000000000000004">
      <c r="A453">
        <v>29623</v>
      </c>
      <c r="B453" t="s">
        <v>359</v>
      </c>
      <c r="C453" t="s">
        <v>360</v>
      </c>
      <c r="D453" t="s">
        <v>905</v>
      </c>
      <c r="E453" t="s">
        <v>894</v>
      </c>
      <c r="F453" t="s">
        <v>895</v>
      </c>
    </row>
    <row r="454" spans="1:6" x14ac:dyDescent="0.55000000000000004">
      <c r="A454">
        <v>29631</v>
      </c>
      <c r="B454" t="s">
        <v>133</v>
      </c>
      <c r="C454" t="s">
        <v>134</v>
      </c>
      <c r="D454" t="s">
        <v>906</v>
      </c>
      <c r="E454" t="s">
        <v>894</v>
      </c>
      <c r="F454" t="s">
        <v>895</v>
      </c>
    </row>
    <row r="455" spans="1:6" x14ac:dyDescent="0.55000000000000004">
      <c r="A455">
        <v>29638</v>
      </c>
      <c r="B455" t="s">
        <v>23</v>
      </c>
      <c r="C455" t="s">
        <v>24</v>
      </c>
      <c r="D455" t="s">
        <v>907</v>
      </c>
      <c r="E455" t="s">
        <v>894</v>
      </c>
      <c r="F455" t="s">
        <v>895</v>
      </c>
    </row>
    <row r="456" spans="1:6" x14ac:dyDescent="0.55000000000000004">
      <c r="A456">
        <v>29641</v>
      </c>
      <c r="B456" t="s">
        <v>771</v>
      </c>
      <c r="C456" t="s">
        <v>772</v>
      </c>
      <c r="D456" t="s">
        <v>908</v>
      </c>
      <c r="E456" t="s">
        <v>894</v>
      </c>
      <c r="F456" t="s">
        <v>895</v>
      </c>
    </row>
    <row r="457" spans="1:6" x14ac:dyDescent="0.55000000000000004">
      <c r="A457">
        <v>29650</v>
      </c>
      <c r="B457" t="s">
        <v>553</v>
      </c>
      <c r="C457" t="s">
        <v>554</v>
      </c>
      <c r="D457" t="s">
        <v>909</v>
      </c>
      <c r="E457" t="s">
        <v>894</v>
      </c>
      <c r="F457" t="s">
        <v>895</v>
      </c>
    </row>
    <row r="458" spans="1:6" x14ac:dyDescent="0.55000000000000004">
      <c r="A458">
        <v>29660</v>
      </c>
      <c r="B458" t="s">
        <v>551</v>
      </c>
      <c r="C458" t="s">
        <v>552</v>
      </c>
      <c r="D458" t="s">
        <v>910</v>
      </c>
      <c r="E458" t="s">
        <v>894</v>
      </c>
      <c r="F458" t="s">
        <v>895</v>
      </c>
    </row>
    <row r="459" spans="1:6" x14ac:dyDescent="0.55000000000000004">
      <c r="A459">
        <v>29662</v>
      </c>
      <c r="B459" t="s">
        <v>201</v>
      </c>
      <c r="C459" t="s">
        <v>202</v>
      </c>
      <c r="D459" t="s">
        <v>911</v>
      </c>
      <c r="E459" t="s">
        <v>894</v>
      </c>
      <c r="F459" t="s">
        <v>895</v>
      </c>
    </row>
    <row r="460" spans="1:6" x14ac:dyDescent="0.55000000000000004">
      <c r="A460">
        <v>29673</v>
      </c>
      <c r="B460" t="s">
        <v>157</v>
      </c>
      <c r="C460" t="s">
        <v>158</v>
      </c>
      <c r="D460" t="s">
        <v>912</v>
      </c>
      <c r="E460" t="s">
        <v>894</v>
      </c>
      <c r="F460" t="s">
        <v>895</v>
      </c>
    </row>
    <row r="461" spans="1:6" x14ac:dyDescent="0.55000000000000004">
      <c r="A461">
        <v>29682</v>
      </c>
      <c r="B461" t="s">
        <v>503</v>
      </c>
      <c r="C461" t="s">
        <v>504</v>
      </c>
      <c r="D461" t="s">
        <v>913</v>
      </c>
      <c r="E461" t="s">
        <v>894</v>
      </c>
      <c r="F461" t="s">
        <v>895</v>
      </c>
    </row>
    <row r="462" spans="1:6" x14ac:dyDescent="0.55000000000000004">
      <c r="A462">
        <v>29686</v>
      </c>
      <c r="B462" t="s">
        <v>479</v>
      </c>
      <c r="C462" t="s">
        <v>480</v>
      </c>
      <c r="D462" t="s">
        <v>914</v>
      </c>
      <c r="E462" t="s">
        <v>894</v>
      </c>
      <c r="F462" t="s">
        <v>895</v>
      </c>
    </row>
    <row r="463" spans="1:6" x14ac:dyDescent="0.55000000000000004">
      <c r="A463">
        <v>29696</v>
      </c>
      <c r="B463" t="s">
        <v>409</v>
      </c>
      <c r="C463" t="s">
        <v>410</v>
      </c>
      <c r="D463" t="s">
        <v>915</v>
      </c>
      <c r="E463" t="s">
        <v>894</v>
      </c>
      <c r="F463" t="s">
        <v>895</v>
      </c>
    </row>
    <row r="464" spans="1:6" x14ac:dyDescent="0.55000000000000004">
      <c r="A464">
        <v>29703</v>
      </c>
      <c r="B464" t="s">
        <v>113</v>
      </c>
      <c r="C464" t="s">
        <v>114</v>
      </c>
      <c r="D464" t="s">
        <v>916</v>
      </c>
      <c r="E464" t="s">
        <v>894</v>
      </c>
      <c r="F464" t="s">
        <v>895</v>
      </c>
    </row>
    <row r="465" spans="1:6" x14ac:dyDescent="0.55000000000000004">
      <c r="A465">
        <v>29716</v>
      </c>
      <c r="B465" t="s">
        <v>221</v>
      </c>
      <c r="C465" t="s">
        <v>222</v>
      </c>
      <c r="D465" t="s">
        <v>917</v>
      </c>
      <c r="E465" t="s">
        <v>894</v>
      </c>
      <c r="F465" t="s">
        <v>895</v>
      </c>
    </row>
    <row r="466" spans="1:6" x14ac:dyDescent="0.55000000000000004">
      <c r="A466">
        <v>29757</v>
      </c>
      <c r="B466" t="s">
        <v>643</v>
      </c>
      <c r="C466" t="s">
        <v>644</v>
      </c>
      <c r="D466" t="s">
        <v>918</v>
      </c>
      <c r="E466" t="s">
        <v>894</v>
      </c>
      <c r="F466" t="s">
        <v>895</v>
      </c>
    </row>
    <row r="467" spans="1:6" x14ac:dyDescent="0.55000000000000004">
      <c r="A467">
        <v>29763</v>
      </c>
      <c r="B467" t="s">
        <v>621</v>
      </c>
      <c r="C467" t="s">
        <v>622</v>
      </c>
      <c r="D467" t="s">
        <v>919</v>
      </c>
      <c r="E467" t="s">
        <v>894</v>
      </c>
      <c r="F467" t="s">
        <v>895</v>
      </c>
    </row>
    <row r="468" spans="1:6" x14ac:dyDescent="0.55000000000000004">
      <c r="A468">
        <v>29768</v>
      </c>
      <c r="B468" t="s">
        <v>597</v>
      </c>
      <c r="C468" t="s">
        <v>598</v>
      </c>
      <c r="D468" t="s">
        <v>920</v>
      </c>
      <c r="E468" t="s">
        <v>894</v>
      </c>
      <c r="F468" t="s">
        <v>895</v>
      </c>
    </row>
    <row r="469" spans="1:6" x14ac:dyDescent="0.55000000000000004">
      <c r="A469">
        <v>29781</v>
      </c>
      <c r="B469" t="s">
        <v>363</v>
      </c>
      <c r="C469" t="s">
        <v>364</v>
      </c>
      <c r="D469" t="s">
        <v>921</v>
      </c>
      <c r="E469" t="s">
        <v>894</v>
      </c>
      <c r="F469" t="s">
        <v>895</v>
      </c>
    </row>
    <row r="470" spans="1:6" x14ac:dyDescent="0.55000000000000004">
      <c r="A470">
        <v>29784</v>
      </c>
      <c r="B470" t="s">
        <v>687</v>
      </c>
      <c r="C470" t="s">
        <v>688</v>
      </c>
      <c r="D470" t="s">
        <v>907</v>
      </c>
      <c r="E470" t="s">
        <v>894</v>
      </c>
      <c r="F470" t="s">
        <v>895</v>
      </c>
    </row>
    <row r="471" spans="1:6" x14ac:dyDescent="0.55000000000000004">
      <c r="A471">
        <v>29788</v>
      </c>
      <c r="B471" t="s">
        <v>435</v>
      </c>
      <c r="C471" t="s">
        <v>436</v>
      </c>
      <c r="D471" t="s">
        <v>922</v>
      </c>
      <c r="E471" t="s">
        <v>894</v>
      </c>
      <c r="F471" t="s">
        <v>895</v>
      </c>
    </row>
    <row r="472" spans="1:6" x14ac:dyDescent="0.55000000000000004">
      <c r="A472">
        <v>29793</v>
      </c>
      <c r="B472" t="s">
        <v>181</v>
      </c>
      <c r="C472" t="s">
        <v>182</v>
      </c>
      <c r="D472" t="s">
        <v>896</v>
      </c>
      <c r="E472" t="s">
        <v>894</v>
      </c>
      <c r="F472" t="s">
        <v>895</v>
      </c>
    </row>
    <row r="473" spans="1:6" x14ac:dyDescent="0.55000000000000004">
      <c r="A473">
        <v>29799</v>
      </c>
      <c r="B473" t="s">
        <v>89</v>
      </c>
      <c r="C473" t="s">
        <v>90</v>
      </c>
      <c r="D473" t="s">
        <v>923</v>
      </c>
      <c r="E473" t="s">
        <v>894</v>
      </c>
      <c r="F473" t="s">
        <v>895</v>
      </c>
    </row>
    <row r="474" spans="1:6" x14ac:dyDescent="0.55000000000000004">
      <c r="A474">
        <v>29805</v>
      </c>
      <c r="B474" t="s">
        <v>67</v>
      </c>
      <c r="C474" t="s">
        <v>68</v>
      </c>
      <c r="D474" t="s">
        <v>924</v>
      </c>
      <c r="E474" t="s">
        <v>894</v>
      </c>
      <c r="F474" t="s">
        <v>895</v>
      </c>
    </row>
    <row r="475" spans="1:6" x14ac:dyDescent="0.55000000000000004">
      <c r="A475">
        <v>29809</v>
      </c>
      <c r="B475" t="s">
        <v>45</v>
      </c>
      <c r="C475" t="s">
        <v>46</v>
      </c>
      <c r="D475" t="s">
        <v>925</v>
      </c>
      <c r="E475" t="s">
        <v>894</v>
      </c>
      <c r="F475" t="s">
        <v>895</v>
      </c>
    </row>
    <row r="476" spans="1:6" x14ac:dyDescent="0.55000000000000004">
      <c r="A476">
        <v>29815</v>
      </c>
      <c r="B476" t="s">
        <v>21</v>
      </c>
      <c r="C476" t="s">
        <v>22</v>
      </c>
      <c r="D476" t="s">
        <v>926</v>
      </c>
      <c r="E476" t="s">
        <v>894</v>
      </c>
      <c r="F476" t="s">
        <v>895</v>
      </c>
    </row>
    <row r="477" spans="1:6" x14ac:dyDescent="0.55000000000000004">
      <c r="A477">
        <v>29834</v>
      </c>
      <c r="B477" t="s">
        <v>831</v>
      </c>
      <c r="C477" t="s">
        <v>832</v>
      </c>
      <c r="D477" t="s">
        <v>902</v>
      </c>
      <c r="E477" t="s">
        <v>894</v>
      </c>
      <c r="F477" t="s">
        <v>895</v>
      </c>
    </row>
    <row r="478" spans="1:6" x14ac:dyDescent="0.55000000000000004">
      <c r="A478">
        <v>29847</v>
      </c>
      <c r="B478" t="s">
        <v>787</v>
      </c>
      <c r="C478" t="s">
        <v>788</v>
      </c>
      <c r="D478" t="s">
        <v>927</v>
      </c>
      <c r="E478" t="s">
        <v>894</v>
      </c>
      <c r="F478" t="s">
        <v>895</v>
      </c>
    </row>
    <row r="479" spans="1:6" x14ac:dyDescent="0.55000000000000004">
      <c r="A479">
        <v>29853</v>
      </c>
      <c r="B479" t="s">
        <v>531</v>
      </c>
      <c r="C479" t="s">
        <v>532</v>
      </c>
      <c r="D479" t="s">
        <v>928</v>
      </c>
      <c r="E479" t="s">
        <v>894</v>
      </c>
      <c r="F479" t="s">
        <v>895</v>
      </c>
    </row>
    <row r="480" spans="1:6" x14ac:dyDescent="0.55000000000000004">
      <c r="A480">
        <v>29865</v>
      </c>
      <c r="B480" t="s">
        <v>341</v>
      </c>
      <c r="C480" t="s">
        <v>342</v>
      </c>
      <c r="D480" t="s">
        <v>929</v>
      </c>
      <c r="E480" t="s">
        <v>894</v>
      </c>
      <c r="F480" t="s">
        <v>895</v>
      </c>
    </row>
    <row r="481" spans="1:6" x14ac:dyDescent="0.55000000000000004">
      <c r="A481">
        <v>29871</v>
      </c>
      <c r="B481" t="s">
        <v>319</v>
      </c>
      <c r="C481" t="s">
        <v>320</v>
      </c>
      <c r="D481" t="s">
        <v>930</v>
      </c>
      <c r="E481" t="s">
        <v>894</v>
      </c>
      <c r="F481" t="s">
        <v>895</v>
      </c>
    </row>
    <row r="482" spans="1:6" x14ac:dyDescent="0.55000000000000004">
      <c r="A482">
        <v>29889</v>
      </c>
      <c r="B482" t="s">
        <v>271</v>
      </c>
      <c r="C482" t="s">
        <v>272</v>
      </c>
      <c r="D482" t="s">
        <v>931</v>
      </c>
      <c r="E482" t="s">
        <v>894</v>
      </c>
      <c r="F482" t="s">
        <v>895</v>
      </c>
    </row>
    <row r="483" spans="1:6" x14ac:dyDescent="0.55000000000000004">
      <c r="A483">
        <v>29893</v>
      </c>
      <c r="B483" t="s">
        <v>245</v>
      </c>
      <c r="C483" t="s">
        <v>246</v>
      </c>
      <c r="D483" t="s">
        <v>932</v>
      </c>
      <c r="E483" t="s">
        <v>894</v>
      </c>
      <c r="F483" t="s">
        <v>895</v>
      </c>
    </row>
    <row r="484" spans="1:6" x14ac:dyDescent="0.55000000000000004">
      <c r="A484">
        <v>29901</v>
      </c>
      <c r="B484" t="s">
        <v>507</v>
      </c>
      <c r="C484" t="s">
        <v>508</v>
      </c>
      <c r="D484" t="s">
        <v>933</v>
      </c>
      <c r="E484" t="s">
        <v>894</v>
      </c>
      <c r="F484" t="s">
        <v>895</v>
      </c>
    </row>
    <row r="485" spans="1:6" x14ac:dyDescent="0.55000000000000004">
      <c r="A485">
        <v>29914</v>
      </c>
      <c r="B485" t="s">
        <v>705</v>
      </c>
      <c r="C485" t="s">
        <v>706</v>
      </c>
      <c r="D485" t="s">
        <v>934</v>
      </c>
      <c r="E485" t="s">
        <v>894</v>
      </c>
      <c r="F485" t="s">
        <v>895</v>
      </c>
    </row>
    <row r="486" spans="1:6" x14ac:dyDescent="0.55000000000000004">
      <c r="A486">
        <v>29919</v>
      </c>
      <c r="B486" t="s">
        <v>137</v>
      </c>
      <c r="C486" t="s">
        <v>138</v>
      </c>
      <c r="D486" t="s">
        <v>935</v>
      </c>
      <c r="E486" t="s">
        <v>894</v>
      </c>
      <c r="F486" t="s">
        <v>895</v>
      </c>
    </row>
    <row r="487" spans="1:6" x14ac:dyDescent="0.55000000000000004">
      <c r="A487">
        <v>29929</v>
      </c>
      <c r="B487" t="s">
        <v>93</v>
      </c>
      <c r="C487" t="s">
        <v>94</v>
      </c>
      <c r="D487" t="s">
        <v>936</v>
      </c>
      <c r="E487" t="s">
        <v>894</v>
      </c>
      <c r="F487" t="s">
        <v>895</v>
      </c>
    </row>
    <row r="488" spans="1:6" x14ac:dyDescent="0.55000000000000004">
      <c r="A488">
        <v>29938</v>
      </c>
      <c r="B488" t="s">
        <v>249</v>
      </c>
      <c r="C488" t="s">
        <v>250</v>
      </c>
      <c r="D488" t="s">
        <v>937</v>
      </c>
      <c r="E488" t="s">
        <v>894</v>
      </c>
      <c r="F488" t="s">
        <v>895</v>
      </c>
    </row>
    <row r="489" spans="1:6" x14ac:dyDescent="0.55000000000000004">
      <c r="A489">
        <v>29944</v>
      </c>
      <c r="B489" t="s">
        <v>135</v>
      </c>
      <c r="C489" t="s">
        <v>136</v>
      </c>
      <c r="D489" t="s">
        <v>938</v>
      </c>
      <c r="E489" t="s">
        <v>894</v>
      </c>
      <c r="F489" t="s">
        <v>895</v>
      </c>
    </row>
    <row r="490" spans="1:6" x14ac:dyDescent="0.55000000000000004">
      <c r="A490">
        <v>29957</v>
      </c>
      <c r="B490" t="s">
        <v>47</v>
      </c>
      <c r="C490" t="s">
        <v>48</v>
      </c>
      <c r="D490" t="s">
        <v>939</v>
      </c>
      <c r="E490" t="s">
        <v>894</v>
      </c>
      <c r="F490" t="s">
        <v>895</v>
      </c>
    </row>
    <row r="491" spans="1:6" x14ac:dyDescent="0.55000000000000004">
      <c r="A491">
        <v>29975</v>
      </c>
      <c r="B491" t="s">
        <v>833</v>
      </c>
      <c r="C491" t="s">
        <v>834</v>
      </c>
      <c r="D491" t="s">
        <v>938</v>
      </c>
      <c r="E491" t="s">
        <v>894</v>
      </c>
      <c r="F491" t="s">
        <v>895</v>
      </c>
    </row>
    <row r="492" spans="1:6" x14ac:dyDescent="0.55000000000000004">
      <c r="A492">
        <v>29982</v>
      </c>
      <c r="B492" t="s">
        <v>863</v>
      </c>
      <c r="C492" t="s">
        <v>864</v>
      </c>
      <c r="D492" t="s">
        <v>940</v>
      </c>
      <c r="E492" t="s">
        <v>894</v>
      </c>
      <c r="F492" t="s">
        <v>895</v>
      </c>
    </row>
    <row r="493" spans="1:6" x14ac:dyDescent="0.55000000000000004">
      <c r="A493">
        <v>29998</v>
      </c>
      <c r="B493" t="s">
        <v>315</v>
      </c>
      <c r="C493" t="s">
        <v>316</v>
      </c>
      <c r="D493" t="s">
        <v>941</v>
      </c>
      <c r="E493" t="s">
        <v>894</v>
      </c>
      <c r="F493" t="s">
        <v>895</v>
      </c>
    </row>
    <row r="494" spans="1:6" x14ac:dyDescent="0.55000000000000004">
      <c r="A494">
        <v>30012</v>
      </c>
      <c r="B494" t="s">
        <v>685</v>
      </c>
      <c r="C494" t="s">
        <v>686</v>
      </c>
      <c r="D494" t="s">
        <v>942</v>
      </c>
      <c r="E494" t="s">
        <v>894</v>
      </c>
      <c r="F494" t="s">
        <v>895</v>
      </c>
    </row>
    <row r="495" spans="1:6" x14ac:dyDescent="0.55000000000000004">
      <c r="A495">
        <v>30022</v>
      </c>
      <c r="B495" t="s">
        <v>413</v>
      </c>
      <c r="C495" t="s">
        <v>414</v>
      </c>
      <c r="D495" t="s">
        <v>943</v>
      </c>
      <c r="E495" t="s">
        <v>894</v>
      </c>
      <c r="F495" t="s">
        <v>895</v>
      </c>
    </row>
    <row r="496" spans="1:6" x14ac:dyDescent="0.55000000000000004">
      <c r="A496">
        <v>30027</v>
      </c>
      <c r="B496" t="s">
        <v>389</v>
      </c>
      <c r="C496" t="s">
        <v>390</v>
      </c>
      <c r="D496" t="s">
        <v>944</v>
      </c>
      <c r="E496" t="s">
        <v>894</v>
      </c>
      <c r="F496" t="s">
        <v>895</v>
      </c>
    </row>
    <row r="497" spans="1:6" x14ac:dyDescent="0.55000000000000004">
      <c r="A497">
        <v>30047</v>
      </c>
      <c r="B497" t="s">
        <v>645</v>
      </c>
      <c r="C497" t="s">
        <v>646</v>
      </c>
      <c r="D497" t="s">
        <v>945</v>
      </c>
      <c r="E497" t="s">
        <v>894</v>
      </c>
      <c r="F497" t="s">
        <v>895</v>
      </c>
    </row>
    <row r="498" spans="1:6" x14ac:dyDescent="0.55000000000000004">
      <c r="A498">
        <v>30052</v>
      </c>
      <c r="B498" t="s">
        <v>669</v>
      </c>
      <c r="C498" t="s">
        <v>670</v>
      </c>
      <c r="D498" t="s">
        <v>946</v>
      </c>
      <c r="E498" t="s">
        <v>894</v>
      </c>
      <c r="F498" t="s">
        <v>895</v>
      </c>
    </row>
    <row r="499" spans="1:6" x14ac:dyDescent="0.55000000000000004">
      <c r="A499">
        <v>30056</v>
      </c>
      <c r="B499" t="s">
        <v>505</v>
      </c>
      <c r="C499" t="s">
        <v>506</v>
      </c>
      <c r="D499" t="s">
        <v>947</v>
      </c>
      <c r="E499" t="s">
        <v>894</v>
      </c>
      <c r="F499" t="s">
        <v>895</v>
      </c>
    </row>
    <row r="500" spans="1:6" x14ac:dyDescent="0.55000000000000004">
      <c r="A500">
        <v>30063</v>
      </c>
      <c r="B500" t="s">
        <v>177</v>
      </c>
      <c r="C500" t="s">
        <v>178</v>
      </c>
      <c r="D500" t="s">
        <v>902</v>
      </c>
      <c r="E500" t="s">
        <v>894</v>
      </c>
      <c r="F500" t="s">
        <v>895</v>
      </c>
    </row>
    <row r="501" spans="1:6" x14ac:dyDescent="0.55000000000000004">
      <c r="A501">
        <v>30069</v>
      </c>
      <c r="B501" t="s">
        <v>155</v>
      </c>
      <c r="C501" t="s">
        <v>156</v>
      </c>
      <c r="D501" t="s">
        <v>948</v>
      </c>
      <c r="E501" t="s">
        <v>894</v>
      </c>
      <c r="F501" t="s">
        <v>895</v>
      </c>
    </row>
    <row r="502" spans="1:6" x14ac:dyDescent="0.55000000000000004">
      <c r="A502">
        <v>30089</v>
      </c>
      <c r="B502" t="s">
        <v>361</v>
      </c>
      <c r="C502" t="s">
        <v>362</v>
      </c>
      <c r="D502" t="s">
        <v>944</v>
      </c>
      <c r="E502" t="s">
        <v>894</v>
      </c>
      <c r="F502" t="s">
        <v>895</v>
      </c>
    </row>
    <row r="503" spans="1:6" x14ac:dyDescent="0.55000000000000004">
      <c r="A503">
        <v>30094</v>
      </c>
      <c r="B503" t="s">
        <v>339</v>
      </c>
      <c r="C503" t="s">
        <v>340</v>
      </c>
      <c r="D503" t="s">
        <v>949</v>
      </c>
      <c r="E503" t="s">
        <v>894</v>
      </c>
      <c r="F503" t="s">
        <v>895</v>
      </c>
    </row>
    <row r="504" spans="1:6" x14ac:dyDescent="0.55000000000000004">
      <c r="A504">
        <v>30100</v>
      </c>
      <c r="B504" t="s">
        <v>317</v>
      </c>
      <c r="C504" t="s">
        <v>318</v>
      </c>
      <c r="D504" t="s">
        <v>950</v>
      </c>
      <c r="E504" t="s">
        <v>894</v>
      </c>
      <c r="F504" t="s">
        <v>895</v>
      </c>
    </row>
    <row r="505" spans="1:6" x14ac:dyDescent="0.55000000000000004">
      <c r="A505">
        <v>30110</v>
      </c>
      <c r="B505" t="s">
        <v>459</v>
      </c>
      <c r="C505" t="s">
        <v>460</v>
      </c>
      <c r="D505" t="s">
        <v>932</v>
      </c>
      <c r="E505" t="s">
        <v>894</v>
      </c>
      <c r="F505" t="s">
        <v>895</v>
      </c>
    </row>
    <row r="506" spans="1:6" x14ac:dyDescent="0.55000000000000004">
      <c r="A506">
        <v>30116</v>
      </c>
      <c r="B506" t="s">
        <v>437</v>
      </c>
      <c r="C506" t="s">
        <v>438</v>
      </c>
      <c r="D506" t="s">
        <v>916</v>
      </c>
      <c r="E506" t="s">
        <v>894</v>
      </c>
      <c r="F506" t="s">
        <v>895</v>
      </c>
    </row>
    <row r="507" spans="1:6" x14ac:dyDescent="0.55000000000000004">
      <c r="A507">
        <v>29486</v>
      </c>
      <c r="B507" t="s">
        <v>745</v>
      </c>
      <c r="C507" t="s">
        <v>746</v>
      </c>
      <c r="D507" t="s">
        <v>951</v>
      </c>
      <c r="E507" t="s">
        <v>952</v>
      </c>
      <c r="F507" t="s">
        <v>895</v>
      </c>
    </row>
    <row r="508" spans="1:6" x14ac:dyDescent="0.55000000000000004">
      <c r="A508">
        <v>29490</v>
      </c>
      <c r="B508" t="s">
        <v>635</v>
      </c>
      <c r="C508" t="s">
        <v>636</v>
      </c>
      <c r="D508" t="s">
        <v>953</v>
      </c>
      <c r="E508" t="s">
        <v>954</v>
      </c>
      <c r="F508" t="s">
        <v>895</v>
      </c>
    </row>
    <row r="509" spans="1:6" x14ac:dyDescent="0.55000000000000004">
      <c r="A509">
        <v>29492</v>
      </c>
      <c r="B509" t="s">
        <v>703</v>
      </c>
      <c r="C509" t="s">
        <v>704</v>
      </c>
      <c r="D509" t="s">
        <v>955</v>
      </c>
      <c r="E509" t="s">
        <v>956</v>
      </c>
      <c r="F509" t="s">
        <v>895</v>
      </c>
    </row>
    <row r="510" spans="1:6" x14ac:dyDescent="0.55000000000000004">
      <c r="A510">
        <v>29496</v>
      </c>
      <c r="B510" t="s">
        <v>665</v>
      </c>
      <c r="C510" t="s">
        <v>666</v>
      </c>
      <c r="D510" t="s">
        <v>957</v>
      </c>
      <c r="E510" t="s">
        <v>958</v>
      </c>
      <c r="F510" t="s">
        <v>895</v>
      </c>
    </row>
    <row r="511" spans="1:6" x14ac:dyDescent="0.55000000000000004">
      <c r="A511">
        <v>29497</v>
      </c>
      <c r="B511" t="s">
        <v>659</v>
      </c>
      <c r="C511" t="s">
        <v>660</v>
      </c>
      <c r="D511" t="s">
        <v>959</v>
      </c>
      <c r="E511" t="s">
        <v>960</v>
      </c>
      <c r="F511" t="s">
        <v>895</v>
      </c>
    </row>
    <row r="512" spans="1:6" x14ac:dyDescent="0.55000000000000004">
      <c r="A512">
        <v>29502</v>
      </c>
      <c r="B512" t="s">
        <v>721</v>
      </c>
      <c r="C512" t="s">
        <v>722</v>
      </c>
      <c r="D512" t="s">
        <v>961</v>
      </c>
      <c r="E512" t="s">
        <v>960</v>
      </c>
      <c r="F512" t="s">
        <v>895</v>
      </c>
    </row>
    <row r="513" spans="1:6" x14ac:dyDescent="0.55000000000000004">
      <c r="A513">
        <v>29505</v>
      </c>
      <c r="B513" t="s">
        <v>729</v>
      </c>
      <c r="C513" t="s">
        <v>730</v>
      </c>
      <c r="D513" t="s">
        <v>962</v>
      </c>
      <c r="E513" t="s">
        <v>963</v>
      </c>
      <c r="F513" t="s">
        <v>895</v>
      </c>
    </row>
    <row r="514" spans="1:6" x14ac:dyDescent="0.55000000000000004">
      <c r="A514">
        <v>29506</v>
      </c>
      <c r="B514" t="s">
        <v>727</v>
      </c>
      <c r="C514" t="s">
        <v>728</v>
      </c>
      <c r="D514" t="s">
        <v>964</v>
      </c>
      <c r="E514" t="s">
        <v>958</v>
      </c>
      <c r="F514" t="s">
        <v>895</v>
      </c>
    </row>
    <row r="515" spans="1:6" x14ac:dyDescent="0.55000000000000004">
      <c r="A515">
        <v>29508</v>
      </c>
      <c r="B515" t="s">
        <v>723</v>
      </c>
      <c r="C515" t="s">
        <v>724</v>
      </c>
      <c r="D515" t="s">
        <v>965</v>
      </c>
      <c r="E515" t="s">
        <v>966</v>
      </c>
      <c r="F515" t="s">
        <v>895</v>
      </c>
    </row>
    <row r="516" spans="1:6" x14ac:dyDescent="0.55000000000000004">
      <c r="A516">
        <v>29511</v>
      </c>
      <c r="B516" t="s">
        <v>457</v>
      </c>
      <c r="C516" t="s">
        <v>458</v>
      </c>
      <c r="D516" t="s">
        <v>967</v>
      </c>
      <c r="E516" t="s">
        <v>968</v>
      </c>
      <c r="F516" t="s">
        <v>895</v>
      </c>
    </row>
    <row r="517" spans="1:6" x14ac:dyDescent="0.55000000000000004">
      <c r="A517">
        <v>29517</v>
      </c>
      <c r="B517" t="s">
        <v>469</v>
      </c>
      <c r="C517" t="s">
        <v>470</v>
      </c>
      <c r="D517" t="s">
        <v>969</v>
      </c>
      <c r="E517" t="s">
        <v>970</v>
      </c>
      <c r="F517" t="s">
        <v>895</v>
      </c>
    </row>
    <row r="518" spans="1:6" x14ac:dyDescent="0.55000000000000004">
      <c r="A518">
        <v>29521</v>
      </c>
      <c r="B518" t="s">
        <v>527</v>
      </c>
      <c r="C518" t="s">
        <v>528</v>
      </c>
      <c r="D518" t="s">
        <v>971</v>
      </c>
      <c r="E518" t="s">
        <v>963</v>
      </c>
      <c r="F518" t="s">
        <v>895</v>
      </c>
    </row>
    <row r="519" spans="1:6" x14ac:dyDescent="0.55000000000000004">
      <c r="A519">
        <v>29523</v>
      </c>
      <c r="B519" t="s">
        <v>405</v>
      </c>
      <c r="C519" t="s">
        <v>406</v>
      </c>
      <c r="D519" t="s">
        <v>972</v>
      </c>
      <c r="E519" t="s">
        <v>966</v>
      </c>
      <c r="F519" t="s">
        <v>895</v>
      </c>
    </row>
    <row r="520" spans="1:6" x14ac:dyDescent="0.55000000000000004">
      <c r="A520">
        <v>29524</v>
      </c>
      <c r="B520" t="s">
        <v>475</v>
      </c>
      <c r="C520" t="s">
        <v>476</v>
      </c>
      <c r="D520" t="s">
        <v>973</v>
      </c>
      <c r="E520" t="s">
        <v>956</v>
      </c>
      <c r="F520" t="s">
        <v>895</v>
      </c>
    </row>
    <row r="521" spans="1:6" x14ac:dyDescent="0.55000000000000004">
      <c r="A521">
        <v>29528</v>
      </c>
      <c r="B521" t="s">
        <v>399</v>
      </c>
      <c r="C521" t="s">
        <v>400</v>
      </c>
      <c r="D521" t="s">
        <v>974</v>
      </c>
      <c r="E521" t="s">
        <v>970</v>
      </c>
      <c r="F521" t="s">
        <v>895</v>
      </c>
    </row>
    <row r="522" spans="1:6" x14ac:dyDescent="0.55000000000000004">
      <c r="A522">
        <v>29531</v>
      </c>
      <c r="B522" t="s">
        <v>575</v>
      </c>
      <c r="C522" t="s">
        <v>576</v>
      </c>
      <c r="D522" t="s">
        <v>971</v>
      </c>
      <c r="E522" t="s">
        <v>963</v>
      </c>
      <c r="F522" t="s">
        <v>895</v>
      </c>
    </row>
    <row r="523" spans="1:6" x14ac:dyDescent="0.55000000000000004">
      <c r="A523">
        <v>29532</v>
      </c>
      <c r="B523" t="s">
        <v>567</v>
      </c>
      <c r="C523" t="s">
        <v>568</v>
      </c>
      <c r="D523" t="s">
        <v>975</v>
      </c>
      <c r="E523" t="s">
        <v>976</v>
      </c>
      <c r="F523" t="s">
        <v>895</v>
      </c>
    </row>
    <row r="524" spans="1:6" x14ac:dyDescent="0.55000000000000004">
      <c r="A524">
        <v>29533</v>
      </c>
      <c r="B524" t="s">
        <v>563</v>
      </c>
      <c r="C524" t="s">
        <v>564</v>
      </c>
      <c r="D524" t="s">
        <v>977</v>
      </c>
      <c r="E524" t="s">
        <v>970</v>
      </c>
      <c r="F524" t="s">
        <v>895</v>
      </c>
    </row>
    <row r="525" spans="1:6" x14ac:dyDescent="0.55000000000000004">
      <c r="A525">
        <v>29535</v>
      </c>
      <c r="B525" t="s">
        <v>381</v>
      </c>
      <c r="C525" t="s">
        <v>382</v>
      </c>
      <c r="D525" t="s">
        <v>978</v>
      </c>
      <c r="E525" t="s">
        <v>966</v>
      </c>
      <c r="F525" t="s">
        <v>895</v>
      </c>
    </row>
    <row r="526" spans="1:6" x14ac:dyDescent="0.55000000000000004">
      <c r="A526">
        <v>29536</v>
      </c>
      <c r="B526" t="s">
        <v>375</v>
      </c>
      <c r="C526" t="s">
        <v>376</v>
      </c>
      <c r="D526" t="s">
        <v>979</v>
      </c>
      <c r="E526" t="s">
        <v>970</v>
      </c>
      <c r="F526" t="s">
        <v>895</v>
      </c>
    </row>
    <row r="527" spans="1:6" x14ac:dyDescent="0.55000000000000004">
      <c r="A527">
        <v>29545</v>
      </c>
      <c r="B527" t="s">
        <v>37</v>
      </c>
      <c r="C527" t="s">
        <v>38</v>
      </c>
      <c r="D527" t="s">
        <v>980</v>
      </c>
      <c r="E527" t="s">
        <v>981</v>
      </c>
      <c r="F527" t="s">
        <v>895</v>
      </c>
    </row>
    <row r="528" spans="1:6" x14ac:dyDescent="0.55000000000000004">
      <c r="A528">
        <v>29550</v>
      </c>
      <c r="B528" t="s">
        <v>239</v>
      </c>
      <c r="C528" t="s">
        <v>240</v>
      </c>
      <c r="D528" t="s">
        <v>982</v>
      </c>
      <c r="E528" t="s">
        <v>983</v>
      </c>
      <c r="F528" t="s">
        <v>895</v>
      </c>
    </row>
    <row r="529" spans="1:6" x14ac:dyDescent="0.55000000000000004">
      <c r="A529">
        <v>29553</v>
      </c>
      <c r="B529" t="s">
        <v>267</v>
      </c>
      <c r="C529" t="s">
        <v>268</v>
      </c>
      <c r="D529" t="s">
        <v>984</v>
      </c>
      <c r="E529" t="s">
        <v>966</v>
      </c>
      <c r="F529" t="s">
        <v>895</v>
      </c>
    </row>
    <row r="530" spans="1:6" x14ac:dyDescent="0.55000000000000004">
      <c r="A530">
        <v>29554</v>
      </c>
      <c r="B530" t="s">
        <v>261</v>
      </c>
      <c r="C530" t="s">
        <v>262</v>
      </c>
      <c r="D530" t="s">
        <v>985</v>
      </c>
      <c r="E530" t="s">
        <v>970</v>
      </c>
      <c r="F530" t="s">
        <v>895</v>
      </c>
    </row>
    <row r="531" spans="1:6" x14ac:dyDescent="0.55000000000000004">
      <c r="A531">
        <v>29559</v>
      </c>
      <c r="B531" t="s">
        <v>331</v>
      </c>
      <c r="C531" t="s">
        <v>332</v>
      </c>
      <c r="D531" t="s">
        <v>986</v>
      </c>
      <c r="E531" t="s">
        <v>981</v>
      </c>
      <c r="F531" t="s">
        <v>895</v>
      </c>
    </row>
    <row r="532" spans="1:6" x14ac:dyDescent="0.55000000000000004">
      <c r="A532">
        <v>29566</v>
      </c>
      <c r="B532" t="s">
        <v>655</v>
      </c>
      <c r="C532" t="s">
        <v>656</v>
      </c>
      <c r="D532" t="s">
        <v>987</v>
      </c>
      <c r="E532" t="s">
        <v>970</v>
      </c>
      <c r="F532" t="s">
        <v>895</v>
      </c>
    </row>
    <row r="533" spans="1:6" x14ac:dyDescent="0.55000000000000004">
      <c r="A533">
        <v>29569</v>
      </c>
      <c r="B533" t="s">
        <v>43</v>
      </c>
      <c r="C533" t="s">
        <v>44</v>
      </c>
      <c r="D533" t="s">
        <v>988</v>
      </c>
      <c r="E533" t="s">
        <v>989</v>
      </c>
      <c r="F533" t="s">
        <v>895</v>
      </c>
    </row>
    <row r="534" spans="1:6" x14ac:dyDescent="0.55000000000000004">
      <c r="A534">
        <v>29570</v>
      </c>
      <c r="B534" t="s">
        <v>383</v>
      </c>
      <c r="C534" t="s">
        <v>384</v>
      </c>
      <c r="D534" t="s">
        <v>972</v>
      </c>
      <c r="E534" t="s">
        <v>966</v>
      </c>
      <c r="F534" t="s">
        <v>895</v>
      </c>
    </row>
    <row r="535" spans="1:6" x14ac:dyDescent="0.55000000000000004">
      <c r="A535">
        <v>29571</v>
      </c>
      <c r="B535" t="s">
        <v>377</v>
      </c>
      <c r="C535" t="s">
        <v>378</v>
      </c>
      <c r="D535" t="s">
        <v>990</v>
      </c>
      <c r="E535" t="s">
        <v>981</v>
      </c>
      <c r="F535" t="s">
        <v>895</v>
      </c>
    </row>
    <row r="536" spans="1:6" x14ac:dyDescent="0.55000000000000004">
      <c r="A536">
        <v>29574</v>
      </c>
      <c r="B536" t="s">
        <v>217</v>
      </c>
      <c r="C536" t="s">
        <v>218</v>
      </c>
      <c r="D536" t="s">
        <v>984</v>
      </c>
      <c r="E536" t="s">
        <v>966</v>
      </c>
      <c r="F536" t="s">
        <v>895</v>
      </c>
    </row>
    <row r="537" spans="1:6" x14ac:dyDescent="0.55000000000000004">
      <c r="A537">
        <v>29579</v>
      </c>
      <c r="B537" t="s">
        <v>199</v>
      </c>
      <c r="C537" t="s">
        <v>200</v>
      </c>
      <c r="D537" t="s">
        <v>991</v>
      </c>
      <c r="E537" t="s">
        <v>968</v>
      </c>
      <c r="F537" t="s">
        <v>895</v>
      </c>
    </row>
    <row r="538" spans="1:6" x14ac:dyDescent="0.55000000000000004">
      <c r="A538">
        <v>29580</v>
      </c>
      <c r="B538" t="s">
        <v>193</v>
      </c>
      <c r="C538" t="s">
        <v>194</v>
      </c>
      <c r="D538" t="s">
        <v>992</v>
      </c>
      <c r="E538" t="s">
        <v>981</v>
      </c>
      <c r="F538" t="s">
        <v>895</v>
      </c>
    </row>
    <row r="539" spans="1:6" x14ac:dyDescent="0.55000000000000004">
      <c r="A539">
        <v>29582</v>
      </c>
      <c r="B539" t="s">
        <v>191</v>
      </c>
      <c r="C539" t="s">
        <v>192</v>
      </c>
      <c r="D539" t="s">
        <v>993</v>
      </c>
      <c r="E539" t="s">
        <v>981</v>
      </c>
      <c r="F539" t="s">
        <v>895</v>
      </c>
    </row>
    <row r="540" spans="1:6" x14ac:dyDescent="0.55000000000000004">
      <c r="A540">
        <v>29583</v>
      </c>
      <c r="B540" t="s">
        <v>197</v>
      </c>
      <c r="C540" t="s">
        <v>198</v>
      </c>
      <c r="D540" t="s">
        <v>994</v>
      </c>
      <c r="E540" t="s">
        <v>995</v>
      </c>
      <c r="F540" t="s">
        <v>895</v>
      </c>
    </row>
    <row r="541" spans="1:6" x14ac:dyDescent="0.55000000000000004">
      <c r="A541">
        <v>29585</v>
      </c>
      <c r="B541" t="s">
        <v>105</v>
      </c>
      <c r="C541" t="s">
        <v>106</v>
      </c>
      <c r="D541" t="s">
        <v>996</v>
      </c>
      <c r="E541" t="s">
        <v>983</v>
      </c>
      <c r="F541" t="s">
        <v>895</v>
      </c>
    </row>
    <row r="542" spans="1:6" x14ac:dyDescent="0.55000000000000004">
      <c r="A542">
        <v>29588</v>
      </c>
      <c r="B542" t="s">
        <v>697</v>
      </c>
      <c r="C542" t="s">
        <v>698</v>
      </c>
      <c r="D542" t="s">
        <v>997</v>
      </c>
      <c r="E542" t="s">
        <v>976</v>
      </c>
      <c r="F542" t="s">
        <v>895</v>
      </c>
    </row>
    <row r="543" spans="1:6" x14ac:dyDescent="0.55000000000000004">
      <c r="A543">
        <v>29590</v>
      </c>
      <c r="B543" t="s">
        <v>423</v>
      </c>
      <c r="C543" t="s">
        <v>424</v>
      </c>
      <c r="D543" t="s">
        <v>998</v>
      </c>
      <c r="E543" t="s">
        <v>970</v>
      </c>
      <c r="F543" t="s">
        <v>895</v>
      </c>
    </row>
    <row r="544" spans="1:6" x14ac:dyDescent="0.55000000000000004">
      <c r="A544">
        <v>29591</v>
      </c>
      <c r="B544" t="s">
        <v>291</v>
      </c>
      <c r="C544" t="s">
        <v>292</v>
      </c>
      <c r="D544" t="s">
        <v>999</v>
      </c>
      <c r="E544" t="s">
        <v>956</v>
      </c>
      <c r="F544" t="s">
        <v>895</v>
      </c>
    </row>
    <row r="545" spans="1:6" x14ac:dyDescent="0.55000000000000004">
      <c r="A545">
        <v>29593</v>
      </c>
      <c r="B545" t="s">
        <v>311</v>
      </c>
      <c r="C545" t="s">
        <v>312</v>
      </c>
      <c r="D545" t="s">
        <v>1000</v>
      </c>
      <c r="E545" t="s">
        <v>995</v>
      </c>
      <c r="F545" t="s">
        <v>895</v>
      </c>
    </row>
    <row r="546" spans="1:6" x14ac:dyDescent="0.55000000000000004">
      <c r="A546">
        <v>29599</v>
      </c>
      <c r="B546" t="s">
        <v>521</v>
      </c>
      <c r="C546" t="s">
        <v>522</v>
      </c>
      <c r="D546" t="s">
        <v>1001</v>
      </c>
      <c r="E546" t="s">
        <v>954</v>
      </c>
      <c r="F546" t="s">
        <v>895</v>
      </c>
    </row>
    <row r="547" spans="1:6" x14ac:dyDescent="0.55000000000000004">
      <c r="A547">
        <v>29600</v>
      </c>
      <c r="B547" t="s">
        <v>517</v>
      </c>
      <c r="C547" t="s">
        <v>518</v>
      </c>
      <c r="D547" t="s">
        <v>1002</v>
      </c>
      <c r="E547" t="s">
        <v>970</v>
      </c>
      <c r="F547" t="s">
        <v>895</v>
      </c>
    </row>
    <row r="548" spans="1:6" x14ac:dyDescent="0.55000000000000004">
      <c r="A548">
        <v>29605</v>
      </c>
      <c r="B548" t="s">
        <v>573</v>
      </c>
      <c r="C548" t="s">
        <v>574</v>
      </c>
      <c r="D548" t="s">
        <v>1003</v>
      </c>
      <c r="E548" t="s">
        <v>958</v>
      </c>
      <c r="F548" t="s">
        <v>895</v>
      </c>
    </row>
    <row r="549" spans="1:6" x14ac:dyDescent="0.55000000000000004">
      <c r="A549">
        <v>29606</v>
      </c>
      <c r="B549" t="s">
        <v>449</v>
      </c>
      <c r="C549" t="s">
        <v>450</v>
      </c>
      <c r="D549" t="s">
        <v>1004</v>
      </c>
      <c r="E549" t="s">
        <v>981</v>
      </c>
      <c r="F549" t="s">
        <v>895</v>
      </c>
    </row>
    <row r="550" spans="1:6" x14ac:dyDescent="0.55000000000000004">
      <c r="A550">
        <v>29611</v>
      </c>
      <c r="B550" t="s">
        <v>351</v>
      </c>
      <c r="C550" t="s">
        <v>352</v>
      </c>
      <c r="D550" t="s">
        <v>1005</v>
      </c>
      <c r="E550" t="s">
        <v>981</v>
      </c>
      <c r="F550" t="s">
        <v>895</v>
      </c>
    </row>
    <row r="551" spans="1:6" x14ac:dyDescent="0.55000000000000004">
      <c r="A551">
        <v>29616</v>
      </c>
      <c r="B551" t="s">
        <v>571</v>
      </c>
      <c r="C551" t="s">
        <v>572</v>
      </c>
      <c r="D551" t="s">
        <v>1006</v>
      </c>
      <c r="E551" t="s">
        <v>966</v>
      </c>
      <c r="F551" t="s">
        <v>895</v>
      </c>
    </row>
    <row r="552" spans="1:6" x14ac:dyDescent="0.55000000000000004">
      <c r="A552">
        <v>29617</v>
      </c>
      <c r="B552" t="s">
        <v>565</v>
      </c>
      <c r="C552" t="s">
        <v>566</v>
      </c>
      <c r="D552" t="s">
        <v>1007</v>
      </c>
      <c r="E552" t="s">
        <v>981</v>
      </c>
      <c r="F552" t="s">
        <v>895</v>
      </c>
    </row>
    <row r="553" spans="1:6" x14ac:dyDescent="0.55000000000000004">
      <c r="A553">
        <v>29622</v>
      </c>
      <c r="B553" t="s">
        <v>353</v>
      </c>
      <c r="C553" t="s">
        <v>354</v>
      </c>
      <c r="D553" t="s">
        <v>1008</v>
      </c>
      <c r="E553" t="s">
        <v>981</v>
      </c>
      <c r="F553" t="s">
        <v>895</v>
      </c>
    </row>
    <row r="554" spans="1:6" x14ac:dyDescent="0.55000000000000004">
      <c r="A554">
        <v>29632</v>
      </c>
      <c r="B554" t="s">
        <v>127</v>
      </c>
      <c r="C554" t="s">
        <v>128</v>
      </c>
      <c r="D554" t="s">
        <v>1009</v>
      </c>
      <c r="E554" t="s">
        <v>981</v>
      </c>
      <c r="F554" t="s">
        <v>895</v>
      </c>
    </row>
    <row r="555" spans="1:6" x14ac:dyDescent="0.55000000000000004">
      <c r="A555">
        <v>29635</v>
      </c>
      <c r="B555" t="s">
        <v>883</v>
      </c>
      <c r="C555" t="s">
        <v>884</v>
      </c>
      <c r="D555" t="s">
        <v>955</v>
      </c>
      <c r="E555" t="s">
        <v>956</v>
      </c>
      <c r="F555" t="s">
        <v>895</v>
      </c>
    </row>
    <row r="556" spans="1:6" x14ac:dyDescent="0.55000000000000004">
      <c r="A556">
        <v>29636</v>
      </c>
      <c r="B556" t="s">
        <v>889</v>
      </c>
      <c r="C556" t="s">
        <v>890</v>
      </c>
      <c r="D556" t="s">
        <v>1010</v>
      </c>
      <c r="E556" t="s">
        <v>1011</v>
      </c>
      <c r="F556" t="s">
        <v>895</v>
      </c>
    </row>
    <row r="557" spans="1:6" x14ac:dyDescent="0.55000000000000004">
      <c r="A557">
        <v>29637</v>
      </c>
      <c r="B557" t="s">
        <v>17</v>
      </c>
      <c r="C557" t="s">
        <v>18</v>
      </c>
      <c r="D557" t="s">
        <v>1012</v>
      </c>
      <c r="E557" t="s">
        <v>966</v>
      </c>
      <c r="F557" t="s">
        <v>895</v>
      </c>
    </row>
    <row r="558" spans="1:6" x14ac:dyDescent="0.55000000000000004">
      <c r="A558">
        <v>29643</v>
      </c>
      <c r="B558" t="s">
        <v>779</v>
      </c>
      <c r="C558" t="s">
        <v>780</v>
      </c>
      <c r="D558" t="s">
        <v>1013</v>
      </c>
      <c r="E558" t="s">
        <v>981</v>
      </c>
      <c r="F558" t="s">
        <v>895</v>
      </c>
    </row>
    <row r="559" spans="1:6" x14ac:dyDescent="0.55000000000000004">
      <c r="A559">
        <v>29645</v>
      </c>
      <c r="B559" t="s">
        <v>213</v>
      </c>
      <c r="C559" t="s">
        <v>214</v>
      </c>
      <c r="D559" t="s">
        <v>1014</v>
      </c>
      <c r="E559" t="s">
        <v>983</v>
      </c>
      <c r="F559" t="s">
        <v>895</v>
      </c>
    </row>
    <row r="560" spans="1:6" x14ac:dyDescent="0.55000000000000004">
      <c r="A560">
        <v>29646</v>
      </c>
      <c r="B560" t="s">
        <v>219</v>
      </c>
      <c r="C560" t="s">
        <v>220</v>
      </c>
      <c r="D560" t="s">
        <v>1015</v>
      </c>
      <c r="E560" t="s">
        <v>966</v>
      </c>
      <c r="F560" t="s">
        <v>895</v>
      </c>
    </row>
    <row r="561" spans="1:6" x14ac:dyDescent="0.55000000000000004">
      <c r="A561">
        <v>29651</v>
      </c>
      <c r="B561" t="s">
        <v>547</v>
      </c>
      <c r="C561" t="s">
        <v>548</v>
      </c>
      <c r="D561" t="s">
        <v>1016</v>
      </c>
      <c r="E561" t="s">
        <v>1017</v>
      </c>
      <c r="F561" t="s">
        <v>895</v>
      </c>
    </row>
    <row r="562" spans="1:6" x14ac:dyDescent="0.55000000000000004">
      <c r="A562">
        <v>29653</v>
      </c>
      <c r="B562" t="s">
        <v>247</v>
      </c>
      <c r="C562" t="s">
        <v>248</v>
      </c>
      <c r="D562" t="s">
        <v>1018</v>
      </c>
      <c r="E562" t="s">
        <v>1019</v>
      </c>
      <c r="F562" t="s">
        <v>895</v>
      </c>
    </row>
    <row r="563" spans="1:6" x14ac:dyDescent="0.55000000000000004">
      <c r="A563">
        <v>29654</v>
      </c>
      <c r="B563" t="s">
        <v>241</v>
      </c>
      <c r="C563" t="s">
        <v>242</v>
      </c>
      <c r="D563" t="s">
        <v>1000</v>
      </c>
      <c r="E563" t="s">
        <v>995</v>
      </c>
      <c r="F563" t="s">
        <v>895</v>
      </c>
    </row>
    <row r="564" spans="1:6" x14ac:dyDescent="0.55000000000000004">
      <c r="A564">
        <v>29655</v>
      </c>
      <c r="B564" t="s">
        <v>235</v>
      </c>
      <c r="C564" t="s">
        <v>236</v>
      </c>
      <c r="D564" t="s">
        <v>1020</v>
      </c>
      <c r="E564" t="s">
        <v>970</v>
      </c>
      <c r="F564" t="s">
        <v>895</v>
      </c>
    </row>
    <row r="565" spans="1:6" x14ac:dyDescent="0.55000000000000004">
      <c r="A565">
        <v>29659</v>
      </c>
      <c r="B565" t="s">
        <v>545</v>
      </c>
      <c r="C565" t="s">
        <v>546</v>
      </c>
      <c r="D565" t="s">
        <v>1021</v>
      </c>
      <c r="E565" t="s">
        <v>966</v>
      </c>
      <c r="F565" t="s">
        <v>895</v>
      </c>
    </row>
    <row r="566" spans="1:6" x14ac:dyDescent="0.55000000000000004">
      <c r="A566">
        <v>29663</v>
      </c>
      <c r="B566" t="s">
        <v>195</v>
      </c>
      <c r="C566" t="s">
        <v>196</v>
      </c>
      <c r="D566" t="s">
        <v>1000</v>
      </c>
      <c r="E566" t="s">
        <v>995</v>
      </c>
      <c r="F566" t="s">
        <v>895</v>
      </c>
    </row>
    <row r="567" spans="1:6" x14ac:dyDescent="0.55000000000000004">
      <c r="A567">
        <v>29668</v>
      </c>
      <c r="B567" t="s">
        <v>173</v>
      </c>
      <c r="C567" t="s">
        <v>174</v>
      </c>
      <c r="D567" t="s">
        <v>1022</v>
      </c>
      <c r="E567" t="s">
        <v>995</v>
      </c>
      <c r="F567" t="s">
        <v>895</v>
      </c>
    </row>
    <row r="568" spans="1:6" x14ac:dyDescent="0.55000000000000004">
      <c r="A568">
        <v>29674</v>
      </c>
      <c r="B568" t="s">
        <v>151</v>
      </c>
      <c r="C568" t="s">
        <v>152</v>
      </c>
      <c r="D568" t="s">
        <v>1023</v>
      </c>
      <c r="E568" t="s">
        <v>995</v>
      </c>
      <c r="F568" t="s">
        <v>895</v>
      </c>
    </row>
    <row r="569" spans="1:6" x14ac:dyDescent="0.55000000000000004">
      <c r="A569">
        <v>29683</v>
      </c>
      <c r="B569" t="s">
        <v>497</v>
      </c>
      <c r="C569" t="s">
        <v>498</v>
      </c>
      <c r="D569" t="s">
        <v>1024</v>
      </c>
      <c r="E569" t="s">
        <v>960</v>
      </c>
      <c r="F569" t="s">
        <v>895</v>
      </c>
    </row>
    <row r="570" spans="1:6" x14ac:dyDescent="0.55000000000000004">
      <c r="A570">
        <v>29684</v>
      </c>
      <c r="B570" t="s">
        <v>493</v>
      </c>
      <c r="C570" t="s">
        <v>494</v>
      </c>
      <c r="D570" t="s">
        <v>969</v>
      </c>
      <c r="E570" t="s">
        <v>970</v>
      </c>
      <c r="F570" t="s">
        <v>895</v>
      </c>
    </row>
    <row r="571" spans="1:6" x14ac:dyDescent="0.55000000000000004">
      <c r="A571">
        <v>29688</v>
      </c>
      <c r="B571" t="s">
        <v>373</v>
      </c>
      <c r="C571" t="s">
        <v>374</v>
      </c>
      <c r="D571" t="s">
        <v>1025</v>
      </c>
      <c r="E571" t="s">
        <v>970</v>
      </c>
      <c r="F571" t="s">
        <v>895</v>
      </c>
    </row>
    <row r="572" spans="1:6" x14ac:dyDescent="0.55000000000000004">
      <c r="A572">
        <v>29689</v>
      </c>
      <c r="B572" t="s">
        <v>379</v>
      </c>
      <c r="C572" t="s">
        <v>380</v>
      </c>
      <c r="D572" t="s">
        <v>1026</v>
      </c>
      <c r="E572" t="s">
        <v>981</v>
      </c>
      <c r="F572" t="s">
        <v>895</v>
      </c>
    </row>
    <row r="573" spans="1:6" x14ac:dyDescent="0.55000000000000004">
      <c r="A573">
        <v>29690</v>
      </c>
      <c r="B573" t="s">
        <v>385</v>
      </c>
      <c r="C573" t="s">
        <v>386</v>
      </c>
      <c r="D573" t="s">
        <v>1027</v>
      </c>
      <c r="E573" t="s">
        <v>1011</v>
      </c>
      <c r="F573" t="s">
        <v>895</v>
      </c>
    </row>
    <row r="574" spans="1:6" x14ac:dyDescent="0.55000000000000004">
      <c r="A574">
        <v>29695</v>
      </c>
      <c r="B574" t="s">
        <v>403</v>
      </c>
      <c r="C574" t="s">
        <v>404</v>
      </c>
      <c r="D574" t="s">
        <v>1004</v>
      </c>
      <c r="E574" t="s">
        <v>981</v>
      </c>
      <c r="F574" t="s">
        <v>895</v>
      </c>
    </row>
    <row r="575" spans="1:6" x14ac:dyDescent="0.55000000000000004">
      <c r="A575">
        <v>29702</v>
      </c>
      <c r="B575" t="s">
        <v>107</v>
      </c>
      <c r="C575" t="s">
        <v>108</v>
      </c>
      <c r="D575" t="s">
        <v>1015</v>
      </c>
      <c r="E575" t="s">
        <v>966</v>
      </c>
      <c r="F575" t="s">
        <v>895</v>
      </c>
    </row>
    <row r="576" spans="1:6" x14ac:dyDescent="0.55000000000000004">
      <c r="A576">
        <v>29708</v>
      </c>
      <c r="B576" t="s">
        <v>129</v>
      </c>
      <c r="C576" t="s">
        <v>130</v>
      </c>
      <c r="D576" t="s">
        <v>1028</v>
      </c>
      <c r="E576" t="s">
        <v>966</v>
      </c>
      <c r="F576" t="s">
        <v>895</v>
      </c>
    </row>
    <row r="577" spans="1:6" x14ac:dyDescent="0.55000000000000004">
      <c r="A577">
        <v>29709</v>
      </c>
      <c r="B577" t="s">
        <v>877</v>
      </c>
      <c r="C577" t="s">
        <v>878</v>
      </c>
      <c r="D577" t="s">
        <v>1029</v>
      </c>
      <c r="E577" t="s">
        <v>983</v>
      </c>
      <c r="F577" t="s">
        <v>895</v>
      </c>
    </row>
    <row r="578" spans="1:6" x14ac:dyDescent="0.55000000000000004">
      <c r="A578">
        <v>29710</v>
      </c>
      <c r="B578" t="s">
        <v>225</v>
      </c>
      <c r="C578" t="s">
        <v>226</v>
      </c>
      <c r="D578" t="s">
        <v>1030</v>
      </c>
      <c r="E578" t="s">
        <v>963</v>
      </c>
      <c r="F578" t="s">
        <v>895</v>
      </c>
    </row>
    <row r="579" spans="1:6" x14ac:dyDescent="0.55000000000000004">
      <c r="A579">
        <v>29717</v>
      </c>
      <c r="B579" t="s">
        <v>215</v>
      </c>
      <c r="C579" t="s">
        <v>216</v>
      </c>
      <c r="D579" t="s">
        <v>1031</v>
      </c>
      <c r="E579" t="s">
        <v>983</v>
      </c>
      <c r="F579" t="s">
        <v>895</v>
      </c>
    </row>
    <row r="580" spans="1:6" x14ac:dyDescent="0.55000000000000004">
      <c r="A580">
        <v>29719</v>
      </c>
      <c r="B580" t="s">
        <v>853</v>
      </c>
      <c r="C580" t="s">
        <v>854</v>
      </c>
      <c r="D580" t="s">
        <v>1032</v>
      </c>
      <c r="E580" t="s">
        <v>981</v>
      </c>
      <c r="F580" t="s">
        <v>895</v>
      </c>
    </row>
    <row r="581" spans="1:6" x14ac:dyDescent="0.55000000000000004">
      <c r="A581">
        <v>29720</v>
      </c>
      <c r="B581" t="s">
        <v>859</v>
      </c>
      <c r="C581" t="s">
        <v>860</v>
      </c>
      <c r="D581" t="s">
        <v>1033</v>
      </c>
      <c r="E581" t="s">
        <v>1011</v>
      </c>
      <c r="F581" t="s">
        <v>895</v>
      </c>
    </row>
    <row r="582" spans="1:6" x14ac:dyDescent="0.55000000000000004">
      <c r="A582">
        <v>29727</v>
      </c>
      <c r="B582" t="s">
        <v>879</v>
      </c>
      <c r="C582" t="s">
        <v>880</v>
      </c>
      <c r="D582" t="s">
        <v>1034</v>
      </c>
      <c r="E582" t="s">
        <v>983</v>
      </c>
      <c r="F582" t="s">
        <v>895</v>
      </c>
    </row>
    <row r="583" spans="1:6" x14ac:dyDescent="0.55000000000000004">
      <c r="A583">
        <v>29728</v>
      </c>
      <c r="B583" t="s">
        <v>885</v>
      </c>
      <c r="C583" t="s">
        <v>886</v>
      </c>
      <c r="D583" t="s">
        <v>1035</v>
      </c>
      <c r="E583" t="s">
        <v>1011</v>
      </c>
      <c r="F583" t="s">
        <v>895</v>
      </c>
    </row>
    <row r="584" spans="1:6" x14ac:dyDescent="0.55000000000000004">
      <c r="A584">
        <v>29732</v>
      </c>
      <c r="B584" t="s">
        <v>569</v>
      </c>
      <c r="C584" t="s">
        <v>570</v>
      </c>
      <c r="D584" t="s">
        <v>1036</v>
      </c>
      <c r="E584" t="s">
        <v>966</v>
      </c>
      <c r="F584" t="s">
        <v>895</v>
      </c>
    </row>
    <row r="585" spans="1:6" x14ac:dyDescent="0.55000000000000004">
      <c r="A585">
        <v>29733</v>
      </c>
      <c r="B585" t="s">
        <v>577</v>
      </c>
      <c r="C585" t="s">
        <v>578</v>
      </c>
      <c r="D585" t="s">
        <v>957</v>
      </c>
      <c r="E585" t="s">
        <v>958</v>
      </c>
      <c r="F585" t="s">
        <v>895</v>
      </c>
    </row>
    <row r="586" spans="1:6" x14ac:dyDescent="0.55000000000000004">
      <c r="A586">
        <v>29737</v>
      </c>
      <c r="B586" t="s">
        <v>587</v>
      </c>
      <c r="C586" t="s">
        <v>588</v>
      </c>
      <c r="D586" t="s">
        <v>1037</v>
      </c>
      <c r="E586" t="s">
        <v>983</v>
      </c>
      <c r="F586" t="s">
        <v>895</v>
      </c>
    </row>
    <row r="587" spans="1:6" x14ac:dyDescent="0.55000000000000004">
      <c r="A587">
        <v>29738</v>
      </c>
      <c r="B587" t="s">
        <v>593</v>
      </c>
      <c r="C587" t="s">
        <v>594</v>
      </c>
      <c r="D587" t="s">
        <v>1038</v>
      </c>
      <c r="E587" t="s">
        <v>989</v>
      </c>
      <c r="F587" t="s">
        <v>895</v>
      </c>
    </row>
    <row r="588" spans="1:6" x14ac:dyDescent="0.55000000000000004">
      <c r="A588">
        <v>29739</v>
      </c>
      <c r="B588" t="s">
        <v>599</v>
      </c>
      <c r="C588" t="s">
        <v>600</v>
      </c>
      <c r="D588" t="s">
        <v>1039</v>
      </c>
      <c r="E588" t="s">
        <v>958</v>
      </c>
      <c r="F588" t="s">
        <v>895</v>
      </c>
    </row>
    <row r="589" spans="1:6" x14ac:dyDescent="0.55000000000000004">
      <c r="A589">
        <v>29742</v>
      </c>
      <c r="B589" t="s">
        <v>611</v>
      </c>
      <c r="C589" t="s">
        <v>612</v>
      </c>
      <c r="D589" t="s">
        <v>1040</v>
      </c>
      <c r="E589" t="s">
        <v>981</v>
      </c>
      <c r="F589" t="s">
        <v>895</v>
      </c>
    </row>
    <row r="590" spans="1:6" x14ac:dyDescent="0.55000000000000004">
      <c r="A590">
        <v>29743</v>
      </c>
      <c r="B590" t="s">
        <v>617</v>
      </c>
      <c r="C590" t="s">
        <v>618</v>
      </c>
      <c r="D590" t="s">
        <v>1041</v>
      </c>
      <c r="E590" t="s">
        <v>995</v>
      </c>
      <c r="F590" t="s">
        <v>895</v>
      </c>
    </row>
    <row r="591" spans="1:6" x14ac:dyDescent="0.55000000000000004">
      <c r="A591">
        <v>29744</v>
      </c>
      <c r="B591" t="s">
        <v>623</v>
      </c>
      <c r="C591" t="s">
        <v>624</v>
      </c>
      <c r="D591" t="s">
        <v>1003</v>
      </c>
      <c r="E591" t="s">
        <v>958</v>
      </c>
      <c r="F591" t="s">
        <v>895</v>
      </c>
    </row>
    <row r="592" spans="1:6" x14ac:dyDescent="0.55000000000000004">
      <c r="A592">
        <v>29747</v>
      </c>
      <c r="B592" t="s">
        <v>743</v>
      </c>
      <c r="C592" t="s">
        <v>744</v>
      </c>
      <c r="D592" t="s">
        <v>1042</v>
      </c>
      <c r="E592" t="s">
        <v>981</v>
      </c>
      <c r="F592" t="s">
        <v>895</v>
      </c>
    </row>
    <row r="593" spans="1:6" x14ac:dyDescent="0.55000000000000004">
      <c r="A593">
        <v>29748</v>
      </c>
      <c r="B593" t="s">
        <v>749</v>
      </c>
      <c r="C593" t="s">
        <v>750</v>
      </c>
      <c r="D593" t="s">
        <v>1043</v>
      </c>
      <c r="E593" t="s">
        <v>1019</v>
      </c>
      <c r="F593" t="s">
        <v>895</v>
      </c>
    </row>
    <row r="594" spans="1:6" x14ac:dyDescent="0.55000000000000004">
      <c r="A594">
        <v>29753</v>
      </c>
      <c r="B594" t="s">
        <v>765</v>
      </c>
      <c r="C594" t="s">
        <v>766</v>
      </c>
      <c r="D594" t="s">
        <v>1004</v>
      </c>
      <c r="E594" t="s">
        <v>981</v>
      </c>
      <c r="F594" t="s">
        <v>895</v>
      </c>
    </row>
    <row r="595" spans="1:6" x14ac:dyDescent="0.55000000000000004">
      <c r="A595">
        <v>29758</v>
      </c>
      <c r="B595" t="s">
        <v>637</v>
      </c>
      <c r="C595" t="s">
        <v>638</v>
      </c>
      <c r="D595" t="s">
        <v>1044</v>
      </c>
      <c r="E595" t="s">
        <v>966</v>
      </c>
      <c r="F595" t="s">
        <v>895</v>
      </c>
    </row>
    <row r="596" spans="1:6" x14ac:dyDescent="0.55000000000000004">
      <c r="A596">
        <v>29764</v>
      </c>
      <c r="B596" t="s">
        <v>615</v>
      </c>
      <c r="C596" t="s">
        <v>616</v>
      </c>
      <c r="D596" t="s">
        <v>1021</v>
      </c>
      <c r="E596" t="s">
        <v>966</v>
      </c>
      <c r="F596" t="s">
        <v>895</v>
      </c>
    </row>
    <row r="597" spans="1:6" x14ac:dyDescent="0.55000000000000004">
      <c r="A597">
        <v>29765</v>
      </c>
      <c r="B597" t="s">
        <v>609</v>
      </c>
      <c r="C597" t="s">
        <v>610</v>
      </c>
      <c r="D597" t="s">
        <v>1045</v>
      </c>
      <c r="E597" t="s">
        <v>970</v>
      </c>
      <c r="F597" t="s">
        <v>895</v>
      </c>
    </row>
    <row r="598" spans="1:6" x14ac:dyDescent="0.55000000000000004">
      <c r="A598">
        <v>29769</v>
      </c>
      <c r="B598" t="s">
        <v>591</v>
      </c>
      <c r="C598" t="s">
        <v>592</v>
      </c>
      <c r="D598" t="s">
        <v>1046</v>
      </c>
      <c r="E598" t="s">
        <v>1017</v>
      </c>
      <c r="F598" t="s">
        <v>895</v>
      </c>
    </row>
    <row r="599" spans="1:6" x14ac:dyDescent="0.55000000000000004">
      <c r="A599">
        <v>29771</v>
      </c>
      <c r="B599" t="s">
        <v>25</v>
      </c>
      <c r="C599" t="s">
        <v>26</v>
      </c>
      <c r="D599" t="s">
        <v>1047</v>
      </c>
      <c r="E599" t="s">
        <v>1011</v>
      </c>
      <c r="F599" t="s">
        <v>895</v>
      </c>
    </row>
    <row r="600" spans="1:6" x14ac:dyDescent="0.55000000000000004">
      <c r="A600">
        <v>29772</v>
      </c>
      <c r="B600" t="s">
        <v>19</v>
      </c>
      <c r="C600" t="s">
        <v>20</v>
      </c>
      <c r="D600" t="s">
        <v>1048</v>
      </c>
      <c r="E600" t="s">
        <v>966</v>
      </c>
      <c r="F600" t="s">
        <v>895</v>
      </c>
    </row>
    <row r="601" spans="1:6" x14ac:dyDescent="0.55000000000000004">
      <c r="A601">
        <v>29773</v>
      </c>
      <c r="B601" t="s">
        <v>13</v>
      </c>
      <c r="C601" t="s">
        <v>14</v>
      </c>
      <c r="D601" t="s">
        <v>992</v>
      </c>
      <c r="E601" t="s">
        <v>981</v>
      </c>
      <c r="F601" t="s">
        <v>895</v>
      </c>
    </row>
    <row r="602" spans="1:6" x14ac:dyDescent="0.55000000000000004">
      <c r="A602">
        <v>29774</v>
      </c>
      <c r="B602" t="s">
        <v>65</v>
      </c>
      <c r="C602" t="s">
        <v>66</v>
      </c>
      <c r="D602" t="s">
        <v>1049</v>
      </c>
      <c r="E602" t="s">
        <v>966</v>
      </c>
      <c r="F602" t="s">
        <v>895</v>
      </c>
    </row>
    <row r="603" spans="1:6" x14ac:dyDescent="0.55000000000000004">
      <c r="A603">
        <v>29775</v>
      </c>
      <c r="B603" t="s">
        <v>59</v>
      </c>
      <c r="C603" t="s">
        <v>60</v>
      </c>
      <c r="D603" t="s">
        <v>1042</v>
      </c>
      <c r="E603" t="s">
        <v>981</v>
      </c>
      <c r="F603" t="s">
        <v>895</v>
      </c>
    </row>
    <row r="604" spans="1:6" x14ac:dyDescent="0.55000000000000004">
      <c r="A604">
        <v>29782</v>
      </c>
      <c r="B604" t="s">
        <v>357</v>
      </c>
      <c r="C604" t="s">
        <v>358</v>
      </c>
      <c r="D604" t="s">
        <v>1050</v>
      </c>
      <c r="E604" t="s">
        <v>952</v>
      </c>
      <c r="F604" t="s">
        <v>895</v>
      </c>
    </row>
    <row r="605" spans="1:6" x14ac:dyDescent="0.55000000000000004">
      <c r="A605">
        <v>29783</v>
      </c>
      <c r="B605" t="s">
        <v>679</v>
      </c>
      <c r="C605" t="s">
        <v>680</v>
      </c>
      <c r="D605" t="s">
        <v>1051</v>
      </c>
      <c r="E605" t="s">
        <v>968</v>
      </c>
      <c r="F605" t="s">
        <v>895</v>
      </c>
    </row>
    <row r="606" spans="1:6" x14ac:dyDescent="0.55000000000000004">
      <c r="A606">
        <v>29787</v>
      </c>
      <c r="B606" t="s">
        <v>427</v>
      </c>
      <c r="C606" t="s">
        <v>428</v>
      </c>
      <c r="D606" t="s">
        <v>1052</v>
      </c>
      <c r="E606" t="s">
        <v>981</v>
      </c>
      <c r="F606" t="s">
        <v>895</v>
      </c>
    </row>
    <row r="607" spans="1:6" x14ac:dyDescent="0.55000000000000004">
      <c r="A607">
        <v>29792</v>
      </c>
      <c r="B607" t="s">
        <v>451</v>
      </c>
      <c r="C607" t="s">
        <v>452</v>
      </c>
      <c r="D607" t="s">
        <v>1053</v>
      </c>
      <c r="E607" t="s">
        <v>966</v>
      </c>
      <c r="F607" t="s">
        <v>895</v>
      </c>
    </row>
    <row r="608" spans="1:6" x14ac:dyDescent="0.55000000000000004">
      <c r="A608">
        <v>29800</v>
      </c>
      <c r="B608" t="s">
        <v>83</v>
      </c>
      <c r="C608" t="s">
        <v>84</v>
      </c>
      <c r="D608" t="s">
        <v>996</v>
      </c>
      <c r="E608" t="s">
        <v>983</v>
      </c>
      <c r="F608" t="s">
        <v>895</v>
      </c>
    </row>
    <row r="609" spans="1:6" x14ac:dyDescent="0.55000000000000004">
      <c r="A609">
        <v>29806</v>
      </c>
      <c r="B609" t="s">
        <v>61</v>
      </c>
      <c r="C609" t="s">
        <v>62</v>
      </c>
      <c r="D609" t="s">
        <v>1054</v>
      </c>
      <c r="E609" t="s">
        <v>976</v>
      </c>
      <c r="F609" t="s">
        <v>895</v>
      </c>
    </row>
    <row r="610" spans="1:6" x14ac:dyDescent="0.55000000000000004">
      <c r="A610">
        <v>29810</v>
      </c>
      <c r="B610" t="s">
        <v>39</v>
      </c>
      <c r="C610" t="s">
        <v>40</v>
      </c>
      <c r="D610" t="s">
        <v>1052</v>
      </c>
      <c r="E610" t="s">
        <v>981</v>
      </c>
      <c r="F610" t="s">
        <v>895</v>
      </c>
    </row>
    <row r="611" spans="1:6" x14ac:dyDescent="0.55000000000000004">
      <c r="A611">
        <v>29816</v>
      </c>
      <c r="B611" t="s">
        <v>15</v>
      </c>
      <c r="C611" t="s">
        <v>16</v>
      </c>
      <c r="D611" t="s">
        <v>990</v>
      </c>
      <c r="E611" t="s">
        <v>981</v>
      </c>
      <c r="F611" t="s">
        <v>895</v>
      </c>
    </row>
    <row r="612" spans="1:6" x14ac:dyDescent="0.55000000000000004">
      <c r="A612">
        <v>29818</v>
      </c>
      <c r="B612" t="s">
        <v>887</v>
      </c>
      <c r="C612" t="s">
        <v>888</v>
      </c>
      <c r="D612" t="s">
        <v>1055</v>
      </c>
      <c r="E612" t="s">
        <v>1011</v>
      </c>
      <c r="F612" t="s">
        <v>895</v>
      </c>
    </row>
    <row r="613" spans="1:6" x14ac:dyDescent="0.55000000000000004">
      <c r="A613">
        <v>29819</v>
      </c>
      <c r="B613" t="s">
        <v>881</v>
      </c>
      <c r="C613" t="s">
        <v>882</v>
      </c>
      <c r="D613" t="s">
        <v>1037</v>
      </c>
      <c r="E613" t="s">
        <v>952</v>
      </c>
      <c r="F613" t="s">
        <v>895</v>
      </c>
    </row>
    <row r="614" spans="1:6" x14ac:dyDescent="0.55000000000000004">
      <c r="A614">
        <v>29826</v>
      </c>
      <c r="B614" t="s">
        <v>861</v>
      </c>
      <c r="C614" t="s">
        <v>862</v>
      </c>
      <c r="D614" t="s">
        <v>1056</v>
      </c>
      <c r="E614" t="s">
        <v>1011</v>
      </c>
      <c r="F614" t="s">
        <v>895</v>
      </c>
    </row>
    <row r="615" spans="1:6" x14ac:dyDescent="0.55000000000000004">
      <c r="A615">
        <v>29827</v>
      </c>
      <c r="B615" t="s">
        <v>855</v>
      </c>
      <c r="C615" t="s">
        <v>856</v>
      </c>
      <c r="D615" t="s">
        <v>1057</v>
      </c>
      <c r="E615" t="s">
        <v>956</v>
      </c>
      <c r="F615" t="s">
        <v>895</v>
      </c>
    </row>
    <row r="616" spans="1:6" x14ac:dyDescent="0.55000000000000004">
      <c r="A616">
        <v>29835</v>
      </c>
      <c r="B616" t="s">
        <v>825</v>
      </c>
      <c r="C616" t="s">
        <v>826</v>
      </c>
      <c r="D616" t="s">
        <v>1058</v>
      </c>
      <c r="E616" t="s">
        <v>983</v>
      </c>
      <c r="F616" t="s">
        <v>895</v>
      </c>
    </row>
    <row r="617" spans="1:6" x14ac:dyDescent="0.55000000000000004">
      <c r="A617">
        <v>29842</v>
      </c>
      <c r="B617" t="s">
        <v>803</v>
      </c>
      <c r="C617" t="s">
        <v>804</v>
      </c>
      <c r="D617" t="s">
        <v>1059</v>
      </c>
      <c r="E617" t="s">
        <v>958</v>
      </c>
      <c r="F617" t="s">
        <v>895</v>
      </c>
    </row>
    <row r="618" spans="1:6" x14ac:dyDescent="0.55000000000000004">
      <c r="A618">
        <v>29843</v>
      </c>
      <c r="B618" t="s">
        <v>797</v>
      </c>
      <c r="C618" t="s">
        <v>798</v>
      </c>
      <c r="D618" t="s">
        <v>1026</v>
      </c>
      <c r="E618" t="s">
        <v>981</v>
      </c>
      <c r="F618" t="s">
        <v>895</v>
      </c>
    </row>
    <row r="619" spans="1:6" x14ac:dyDescent="0.55000000000000004">
      <c r="A619">
        <v>29848</v>
      </c>
      <c r="B619" t="s">
        <v>781</v>
      </c>
      <c r="C619" t="s">
        <v>782</v>
      </c>
      <c r="D619" t="s">
        <v>1060</v>
      </c>
      <c r="E619" t="s">
        <v>1017</v>
      </c>
      <c r="F619" t="s">
        <v>895</v>
      </c>
    </row>
    <row r="620" spans="1:6" x14ac:dyDescent="0.55000000000000004">
      <c r="A620">
        <v>29850</v>
      </c>
      <c r="B620" t="s">
        <v>767</v>
      </c>
      <c r="C620" t="s">
        <v>768</v>
      </c>
      <c r="D620" t="s">
        <v>972</v>
      </c>
      <c r="E620" t="s">
        <v>966</v>
      </c>
      <c r="F620" t="s">
        <v>895</v>
      </c>
    </row>
    <row r="621" spans="1:6" x14ac:dyDescent="0.55000000000000004">
      <c r="A621">
        <v>29854</v>
      </c>
      <c r="B621" t="s">
        <v>525</v>
      </c>
      <c r="C621" t="s">
        <v>526</v>
      </c>
      <c r="D621" t="s">
        <v>1061</v>
      </c>
      <c r="E621" t="s">
        <v>995</v>
      </c>
      <c r="F621" t="s">
        <v>895</v>
      </c>
    </row>
    <row r="622" spans="1:6" x14ac:dyDescent="0.55000000000000004">
      <c r="A622">
        <v>29858</v>
      </c>
      <c r="B622" t="s">
        <v>741</v>
      </c>
      <c r="C622" t="s">
        <v>742</v>
      </c>
      <c r="D622" t="s">
        <v>1008</v>
      </c>
      <c r="E622" t="s">
        <v>981</v>
      </c>
      <c r="F622" t="s">
        <v>895</v>
      </c>
    </row>
    <row r="623" spans="1:6" x14ac:dyDescent="0.55000000000000004">
      <c r="A623">
        <v>29859</v>
      </c>
      <c r="B623" t="s">
        <v>747</v>
      </c>
      <c r="C623" t="s">
        <v>748</v>
      </c>
      <c r="D623" t="s">
        <v>1021</v>
      </c>
      <c r="E623" t="s">
        <v>966</v>
      </c>
      <c r="F623" t="s">
        <v>895</v>
      </c>
    </row>
    <row r="624" spans="1:6" x14ac:dyDescent="0.55000000000000004">
      <c r="A624">
        <v>29861</v>
      </c>
      <c r="B624" t="s">
        <v>801</v>
      </c>
      <c r="C624" t="s">
        <v>802</v>
      </c>
      <c r="D624" t="s">
        <v>1062</v>
      </c>
      <c r="E624" t="s">
        <v>952</v>
      </c>
      <c r="F624" t="s">
        <v>895</v>
      </c>
    </row>
    <row r="625" spans="1:6" x14ac:dyDescent="0.55000000000000004">
      <c r="A625">
        <v>29862</v>
      </c>
      <c r="B625" t="s">
        <v>807</v>
      </c>
      <c r="C625" t="s">
        <v>808</v>
      </c>
      <c r="D625" t="s">
        <v>971</v>
      </c>
      <c r="E625" t="s">
        <v>963</v>
      </c>
      <c r="F625" t="s">
        <v>895</v>
      </c>
    </row>
    <row r="626" spans="1:6" x14ac:dyDescent="0.55000000000000004">
      <c r="A626">
        <v>29866</v>
      </c>
      <c r="B626" t="s">
        <v>335</v>
      </c>
      <c r="C626" t="s">
        <v>336</v>
      </c>
      <c r="D626" t="s">
        <v>984</v>
      </c>
      <c r="E626" t="s">
        <v>966</v>
      </c>
      <c r="F626" t="s">
        <v>895</v>
      </c>
    </row>
    <row r="627" spans="1:6" x14ac:dyDescent="0.55000000000000004">
      <c r="A627">
        <v>29867</v>
      </c>
      <c r="B627" t="s">
        <v>329</v>
      </c>
      <c r="C627" t="s">
        <v>330</v>
      </c>
      <c r="D627" t="s">
        <v>1042</v>
      </c>
      <c r="E627" t="s">
        <v>981</v>
      </c>
      <c r="F627" t="s">
        <v>895</v>
      </c>
    </row>
    <row r="628" spans="1:6" x14ac:dyDescent="0.55000000000000004">
      <c r="A628">
        <v>29872</v>
      </c>
      <c r="B628" t="s">
        <v>313</v>
      </c>
      <c r="C628" t="s">
        <v>314</v>
      </c>
      <c r="D628" t="s">
        <v>1063</v>
      </c>
      <c r="E628" t="s">
        <v>956</v>
      </c>
      <c r="F628" t="s">
        <v>895</v>
      </c>
    </row>
    <row r="629" spans="1:6" x14ac:dyDescent="0.55000000000000004">
      <c r="A629">
        <v>29873</v>
      </c>
      <c r="B629" t="s">
        <v>307</v>
      </c>
      <c r="C629" t="s">
        <v>308</v>
      </c>
      <c r="D629" t="s">
        <v>1064</v>
      </c>
      <c r="E629" t="s">
        <v>981</v>
      </c>
      <c r="F629" t="s">
        <v>895</v>
      </c>
    </row>
    <row r="630" spans="1:6" x14ac:dyDescent="0.55000000000000004">
      <c r="A630">
        <v>29877</v>
      </c>
      <c r="B630" t="s">
        <v>297</v>
      </c>
      <c r="C630" t="s">
        <v>298</v>
      </c>
      <c r="D630" t="s">
        <v>1065</v>
      </c>
      <c r="E630" t="s">
        <v>968</v>
      </c>
      <c r="F630" t="s">
        <v>895</v>
      </c>
    </row>
    <row r="631" spans="1:6" x14ac:dyDescent="0.55000000000000004">
      <c r="A631">
        <v>29883</v>
      </c>
      <c r="B631" t="s">
        <v>295</v>
      </c>
      <c r="C631" t="s">
        <v>296</v>
      </c>
      <c r="D631" t="s">
        <v>1066</v>
      </c>
      <c r="E631" t="s">
        <v>968</v>
      </c>
      <c r="F631" t="s">
        <v>895</v>
      </c>
    </row>
    <row r="632" spans="1:6" x14ac:dyDescent="0.55000000000000004">
      <c r="A632">
        <v>29884</v>
      </c>
      <c r="B632" t="s">
        <v>289</v>
      </c>
      <c r="C632" t="s">
        <v>290</v>
      </c>
      <c r="D632" t="s">
        <v>1000</v>
      </c>
      <c r="E632" t="s">
        <v>995</v>
      </c>
      <c r="F632" t="s">
        <v>895</v>
      </c>
    </row>
    <row r="633" spans="1:6" x14ac:dyDescent="0.55000000000000004">
      <c r="A633">
        <v>29885</v>
      </c>
      <c r="B633" t="s">
        <v>287</v>
      </c>
      <c r="C633" t="s">
        <v>288</v>
      </c>
      <c r="D633" t="s">
        <v>1067</v>
      </c>
      <c r="E633" t="s">
        <v>981</v>
      </c>
      <c r="F633" t="s">
        <v>895</v>
      </c>
    </row>
    <row r="634" spans="1:6" x14ac:dyDescent="0.55000000000000004">
      <c r="A634">
        <v>29890</v>
      </c>
      <c r="B634" t="s">
        <v>265</v>
      </c>
      <c r="C634" t="s">
        <v>266</v>
      </c>
      <c r="D634" t="s">
        <v>1068</v>
      </c>
      <c r="E634" t="s">
        <v>981</v>
      </c>
      <c r="F634" t="s">
        <v>895</v>
      </c>
    </row>
    <row r="635" spans="1:6" x14ac:dyDescent="0.55000000000000004">
      <c r="A635">
        <v>29891</v>
      </c>
      <c r="B635" t="s">
        <v>259</v>
      </c>
      <c r="C635" t="s">
        <v>260</v>
      </c>
      <c r="D635" t="s">
        <v>1069</v>
      </c>
      <c r="E635" t="s">
        <v>970</v>
      </c>
      <c r="F635" t="s">
        <v>895</v>
      </c>
    </row>
    <row r="636" spans="1:6" x14ac:dyDescent="0.55000000000000004">
      <c r="A636">
        <v>29897</v>
      </c>
      <c r="B636" t="s">
        <v>619</v>
      </c>
      <c r="C636" t="s">
        <v>620</v>
      </c>
      <c r="D636" t="s">
        <v>1003</v>
      </c>
      <c r="E636" t="s">
        <v>958</v>
      </c>
      <c r="F636" t="s">
        <v>895</v>
      </c>
    </row>
    <row r="637" spans="1:6" x14ac:dyDescent="0.55000000000000004">
      <c r="A637">
        <v>29898</v>
      </c>
      <c r="B637" t="s">
        <v>519</v>
      </c>
      <c r="C637" t="s">
        <v>520</v>
      </c>
      <c r="D637" t="s">
        <v>992</v>
      </c>
      <c r="E637" t="s">
        <v>981</v>
      </c>
      <c r="F637" t="s">
        <v>895</v>
      </c>
    </row>
    <row r="638" spans="1:6" x14ac:dyDescent="0.55000000000000004">
      <c r="A638">
        <v>29902</v>
      </c>
      <c r="B638" t="s">
        <v>501</v>
      </c>
      <c r="C638" t="s">
        <v>502</v>
      </c>
      <c r="D638" t="s">
        <v>1021</v>
      </c>
      <c r="E638" t="s">
        <v>966</v>
      </c>
      <c r="F638" t="s">
        <v>895</v>
      </c>
    </row>
    <row r="639" spans="1:6" x14ac:dyDescent="0.55000000000000004">
      <c r="A639">
        <v>29903</v>
      </c>
      <c r="B639" t="s">
        <v>495</v>
      </c>
      <c r="C639" t="s">
        <v>496</v>
      </c>
      <c r="D639" t="s">
        <v>996</v>
      </c>
      <c r="E639" t="s">
        <v>983</v>
      </c>
      <c r="F639" t="s">
        <v>895</v>
      </c>
    </row>
    <row r="640" spans="1:6" x14ac:dyDescent="0.55000000000000004">
      <c r="A640">
        <v>29906</v>
      </c>
      <c r="B640" t="s">
        <v>477</v>
      </c>
      <c r="C640" t="s">
        <v>478</v>
      </c>
      <c r="D640" t="s">
        <v>1070</v>
      </c>
      <c r="E640" t="s">
        <v>956</v>
      </c>
      <c r="F640" t="s">
        <v>895</v>
      </c>
    </row>
    <row r="641" spans="1:6" x14ac:dyDescent="0.55000000000000004">
      <c r="A641">
        <v>29907</v>
      </c>
      <c r="B641" t="s">
        <v>471</v>
      </c>
      <c r="C641" t="s">
        <v>472</v>
      </c>
      <c r="D641" t="s">
        <v>1071</v>
      </c>
      <c r="E641" t="s">
        <v>981</v>
      </c>
      <c r="F641" t="s">
        <v>895</v>
      </c>
    </row>
    <row r="642" spans="1:6" x14ac:dyDescent="0.55000000000000004">
      <c r="A642">
        <v>29913</v>
      </c>
      <c r="B642" t="s">
        <v>707</v>
      </c>
      <c r="C642" t="s">
        <v>708</v>
      </c>
      <c r="D642" t="s">
        <v>967</v>
      </c>
      <c r="E642" t="s">
        <v>968</v>
      </c>
      <c r="F642" t="s">
        <v>895</v>
      </c>
    </row>
    <row r="643" spans="1:6" x14ac:dyDescent="0.55000000000000004">
      <c r="A643">
        <v>29915</v>
      </c>
      <c r="B643" t="s">
        <v>699</v>
      </c>
      <c r="C643" t="s">
        <v>700</v>
      </c>
      <c r="D643" t="s">
        <v>1072</v>
      </c>
      <c r="E643" t="s">
        <v>981</v>
      </c>
      <c r="F643" t="s">
        <v>895</v>
      </c>
    </row>
    <row r="644" spans="1:6" x14ac:dyDescent="0.55000000000000004">
      <c r="A644">
        <v>29920</v>
      </c>
      <c r="B644" t="s">
        <v>131</v>
      </c>
      <c r="C644" t="s">
        <v>132</v>
      </c>
      <c r="D644" t="s">
        <v>1073</v>
      </c>
      <c r="E644" t="s">
        <v>966</v>
      </c>
      <c r="F644" t="s">
        <v>895</v>
      </c>
    </row>
    <row r="645" spans="1:6" x14ac:dyDescent="0.55000000000000004">
      <c r="A645">
        <v>29921</v>
      </c>
      <c r="B645" t="s">
        <v>125</v>
      </c>
      <c r="C645" t="s">
        <v>126</v>
      </c>
      <c r="D645" t="s">
        <v>1058</v>
      </c>
      <c r="E645" t="s">
        <v>983</v>
      </c>
      <c r="F645" t="s">
        <v>895</v>
      </c>
    </row>
    <row r="646" spans="1:6" x14ac:dyDescent="0.55000000000000004">
      <c r="A646">
        <v>29924</v>
      </c>
      <c r="B646" t="s">
        <v>115</v>
      </c>
      <c r="C646" t="s">
        <v>116</v>
      </c>
      <c r="D646" t="s">
        <v>1074</v>
      </c>
      <c r="E646" t="s">
        <v>968</v>
      </c>
      <c r="F646" t="s">
        <v>895</v>
      </c>
    </row>
    <row r="647" spans="1:6" x14ac:dyDescent="0.55000000000000004">
      <c r="A647">
        <v>29925</v>
      </c>
      <c r="B647" t="s">
        <v>103</v>
      </c>
      <c r="C647" t="s">
        <v>104</v>
      </c>
      <c r="D647" t="s">
        <v>1075</v>
      </c>
      <c r="E647" t="s">
        <v>981</v>
      </c>
      <c r="F647" t="s">
        <v>895</v>
      </c>
    </row>
    <row r="648" spans="1:6" x14ac:dyDescent="0.55000000000000004">
      <c r="A648">
        <v>29930</v>
      </c>
      <c r="B648" t="s">
        <v>87</v>
      </c>
      <c r="C648" t="s">
        <v>88</v>
      </c>
      <c r="D648" t="s">
        <v>1000</v>
      </c>
      <c r="E648" t="s">
        <v>995</v>
      </c>
      <c r="F648" t="s">
        <v>895</v>
      </c>
    </row>
    <row r="649" spans="1:6" x14ac:dyDescent="0.55000000000000004">
      <c r="A649">
        <v>29931</v>
      </c>
      <c r="B649" t="s">
        <v>81</v>
      </c>
      <c r="C649" t="s">
        <v>82</v>
      </c>
      <c r="D649" t="s">
        <v>1037</v>
      </c>
      <c r="E649" t="s">
        <v>983</v>
      </c>
      <c r="F649" t="s">
        <v>895</v>
      </c>
    </row>
    <row r="650" spans="1:6" x14ac:dyDescent="0.55000000000000004">
      <c r="A650">
        <v>29935</v>
      </c>
      <c r="B650" t="s">
        <v>71</v>
      </c>
      <c r="C650" t="s">
        <v>72</v>
      </c>
      <c r="D650" t="s">
        <v>1047</v>
      </c>
      <c r="E650" t="s">
        <v>1011</v>
      </c>
      <c r="F650" t="s">
        <v>895</v>
      </c>
    </row>
    <row r="651" spans="1:6" x14ac:dyDescent="0.55000000000000004">
      <c r="A651">
        <v>29936</v>
      </c>
      <c r="B651" t="s">
        <v>237</v>
      </c>
      <c r="C651" t="s">
        <v>238</v>
      </c>
      <c r="D651" t="s">
        <v>1076</v>
      </c>
      <c r="E651" t="s">
        <v>983</v>
      </c>
      <c r="F651" t="s">
        <v>895</v>
      </c>
    </row>
    <row r="652" spans="1:6" x14ac:dyDescent="0.55000000000000004">
      <c r="A652">
        <v>29937</v>
      </c>
      <c r="B652" t="s">
        <v>243</v>
      </c>
      <c r="C652" t="s">
        <v>244</v>
      </c>
      <c r="D652" t="s">
        <v>1077</v>
      </c>
      <c r="E652" t="s">
        <v>966</v>
      </c>
      <c r="F652" t="s">
        <v>895</v>
      </c>
    </row>
    <row r="653" spans="1:6" x14ac:dyDescent="0.55000000000000004">
      <c r="A653">
        <v>29942</v>
      </c>
      <c r="B653" t="s">
        <v>263</v>
      </c>
      <c r="C653" t="s">
        <v>264</v>
      </c>
      <c r="D653" t="s">
        <v>990</v>
      </c>
      <c r="E653" t="s">
        <v>981</v>
      </c>
      <c r="F653" t="s">
        <v>895</v>
      </c>
    </row>
    <row r="654" spans="1:6" x14ac:dyDescent="0.55000000000000004">
      <c r="A654">
        <v>29943</v>
      </c>
      <c r="B654" t="s">
        <v>269</v>
      </c>
      <c r="C654" t="s">
        <v>270</v>
      </c>
      <c r="D654" t="s">
        <v>1078</v>
      </c>
      <c r="E654" t="s">
        <v>966</v>
      </c>
      <c r="F654" t="s">
        <v>895</v>
      </c>
    </row>
    <row r="655" spans="1:6" x14ac:dyDescent="0.55000000000000004">
      <c r="A655">
        <v>29948</v>
      </c>
      <c r="B655" t="s">
        <v>153</v>
      </c>
      <c r="C655" t="s">
        <v>154</v>
      </c>
      <c r="D655" t="s">
        <v>984</v>
      </c>
      <c r="E655" t="s">
        <v>966</v>
      </c>
      <c r="F655" t="s">
        <v>895</v>
      </c>
    </row>
    <row r="656" spans="1:6" x14ac:dyDescent="0.55000000000000004">
      <c r="A656">
        <v>29949</v>
      </c>
      <c r="B656" t="s">
        <v>159</v>
      </c>
      <c r="C656" t="s">
        <v>160</v>
      </c>
      <c r="D656" t="s">
        <v>1079</v>
      </c>
      <c r="E656" t="s">
        <v>963</v>
      </c>
      <c r="F656" t="s">
        <v>895</v>
      </c>
    </row>
    <row r="657" spans="1:6" x14ac:dyDescent="0.55000000000000004">
      <c r="A657">
        <v>29953</v>
      </c>
      <c r="B657" t="s">
        <v>169</v>
      </c>
      <c r="C657" t="s">
        <v>170</v>
      </c>
      <c r="D657" t="s">
        <v>993</v>
      </c>
      <c r="E657" t="s">
        <v>981</v>
      </c>
      <c r="F657" t="s">
        <v>895</v>
      </c>
    </row>
    <row r="658" spans="1:6" x14ac:dyDescent="0.55000000000000004">
      <c r="A658">
        <v>29954</v>
      </c>
      <c r="B658" t="s">
        <v>175</v>
      </c>
      <c r="C658" t="s">
        <v>176</v>
      </c>
      <c r="D658" t="s">
        <v>984</v>
      </c>
      <c r="E658" t="s">
        <v>966</v>
      </c>
      <c r="F658" t="s">
        <v>895</v>
      </c>
    </row>
    <row r="659" spans="1:6" x14ac:dyDescent="0.55000000000000004">
      <c r="A659">
        <v>29955</v>
      </c>
      <c r="B659" t="s">
        <v>35</v>
      </c>
      <c r="C659" t="s">
        <v>36</v>
      </c>
      <c r="D659" t="s">
        <v>1080</v>
      </c>
      <c r="E659" t="s">
        <v>970</v>
      </c>
      <c r="F659" t="s">
        <v>895</v>
      </c>
    </row>
    <row r="660" spans="1:6" x14ac:dyDescent="0.55000000000000004">
      <c r="A660">
        <v>29956</v>
      </c>
      <c r="B660" t="s">
        <v>41</v>
      </c>
      <c r="C660" t="s">
        <v>42</v>
      </c>
      <c r="D660" t="s">
        <v>1012</v>
      </c>
      <c r="E660" t="s">
        <v>966</v>
      </c>
      <c r="F660" t="s">
        <v>895</v>
      </c>
    </row>
    <row r="661" spans="1:6" x14ac:dyDescent="0.55000000000000004">
      <c r="A661">
        <v>29962</v>
      </c>
      <c r="B661" t="s">
        <v>63</v>
      </c>
      <c r="C661" t="s">
        <v>64</v>
      </c>
      <c r="D661" t="s">
        <v>1081</v>
      </c>
      <c r="E661" t="s">
        <v>952</v>
      </c>
      <c r="F661" t="s">
        <v>895</v>
      </c>
    </row>
    <row r="662" spans="1:6" x14ac:dyDescent="0.55000000000000004">
      <c r="A662">
        <v>29967</v>
      </c>
      <c r="B662" t="s">
        <v>85</v>
      </c>
      <c r="C662" t="s">
        <v>86</v>
      </c>
      <c r="D662" t="s">
        <v>1082</v>
      </c>
      <c r="E662" t="s">
        <v>995</v>
      </c>
      <c r="F662" t="s">
        <v>895</v>
      </c>
    </row>
    <row r="663" spans="1:6" x14ac:dyDescent="0.55000000000000004">
      <c r="A663">
        <v>29973</v>
      </c>
      <c r="B663" t="s">
        <v>821</v>
      </c>
      <c r="C663" t="s">
        <v>822</v>
      </c>
      <c r="D663" t="s">
        <v>1083</v>
      </c>
      <c r="E663" t="s">
        <v>970</v>
      </c>
      <c r="F663" t="s">
        <v>895</v>
      </c>
    </row>
    <row r="664" spans="1:6" x14ac:dyDescent="0.55000000000000004">
      <c r="A664">
        <v>29974</v>
      </c>
      <c r="B664" t="s">
        <v>827</v>
      </c>
      <c r="C664" t="s">
        <v>828</v>
      </c>
      <c r="D664" t="s">
        <v>999</v>
      </c>
      <c r="E664" t="s">
        <v>956</v>
      </c>
      <c r="F664" t="s">
        <v>895</v>
      </c>
    </row>
    <row r="665" spans="1:6" x14ac:dyDescent="0.55000000000000004">
      <c r="A665">
        <v>29981</v>
      </c>
      <c r="B665" t="s">
        <v>851</v>
      </c>
      <c r="C665" t="s">
        <v>852</v>
      </c>
      <c r="D665" t="s">
        <v>1084</v>
      </c>
      <c r="E665" t="s">
        <v>981</v>
      </c>
      <c r="F665" t="s">
        <v>895</v>
      </c>
    </row>
    <row r="666" spans="1:6" x14ac:dyDescent="0.55000000000000004">
      <c r="A666">
        <v>29987</v>
      </c>
      <c r="B666" t="s">
        <v>275</v>
      </c>
      <c r="C666" t="s">
        <v>276</v>
      </c>
      <c r="D666" t="s">
        <v>1085</v>
      </c>
      <c r="E666" t="s">
        <v>958</v>
      </c>
      <c r="F666" t="s">
        <v>895</v>
      </c>
    </row>
    <row r="667" spans="1:6" x14ac:dyDescent="0.55000000000000004">
      <c r="A667">
        <v>29991</v>
      </c>
      <c r="B667" t="s">
        <v>285</v>
      </c>
      <c r="C667" t="s">
        <v>286</v>
      </c>
      <c r="D667" t="s">
        <v>1086</v>
      </c>
      <c r="E667" t="s">
        <v>981</v>
      </c>
      <c r="F667" t="s">
        <v>895</v>
      </c>
    </row>
    <row r="668" spans="1:6" x14ac:dyDescent="0.55000000000000004">
      <c r="A668">
        <v>29992</v>
      </c>
      <c r="B668" t="s">
        <v>293</v>
      </c>
      <c r="C668" t="s">
        <v>294</v>
      </c>
      <c r="D668" t="s">
        <v>1087</v>
      </c>
      <c r="E668" t="s">
        <v>1019</v>
      </c>
      <c r="F668" t="s">
        <v>895</v>
      </c>
    </row>
    <row r="669" spans="1:6" x14ac:dyDescent="0.55000000000000004">
      <c r="A669">
        <v>29997</v>
      </c>
      <c r="B669" t="s">
        <v>309</v>
      </c>
      <c r="C669" t="s">
        <v>310</v>
      </c>
      <c r="D669" t="s">
        <v>992</v>
      </c>
      <c r="E669" t="s">
        <v>981</v>
      </c>
      <c r="F669" t="s">
        <v>895</v>
      </c>
    </row>
    <row r="670" spans="1:6" x14ac:dyDescent="0.55000000000000004">
      <c r="A670">
        <v>30003</v>
      </c>
      <c r="B670" t="s">
        <v>725</v>
      </c>
      <c r="C670" t="s">
        <v>726</v>
      </c>
      <c r="D670" t="s">
        <v>1088</v>
      </c>
      <c r="E670" t="s">
        <v>952</v>
      </c>
      <c r="F670" t="s">
        <v>895</v>
      </c>
    </row>
    <row r="671" spans="1:6" x14ac:dyDescent="0.55000000000000004">
      <c r="A671">
        <v>30004</v>
      </c>
      <c r="B671" t="s">
        <v>719</v>
      </c>
      <c r="C671" t="s">
        <v>720</v>
      </c>
      <c r="D671" t="s">
        <v>1024</v>
      </c>
      <c r="E671" t="s">
        <v>960</v>
      </c>
      <c r="F671" t="s">
        <v>895</v>
      </c>
    </row>
    <row r="672" spans="1:6" x14ac:dyDescent="0.55000000000000004">
      <c r="A672">
        <v>30008</v>
      </c>
      <c r="B672" t="s">
        <v>701</v>
      </c>
      <c r="C672" t="s">
        <v>702</v>
      </c>
      <c r="D672" t="s">
        <v>1089</v>
      </c>
      <c r="E672" t="s">
        <v>1017</v>
      </c>
      <c r="F672" t="s">
        <v>895</v>
      </c>
    </row>
    <row r="673" spans="1:6" x14ac:dyDescent="0.55000000000000004">
      <c r="A673">
        <v>30018</v>
      </c>
      <c r="B673" t="s">
        <v>425</v>
      </c>
      <c r="C673" t="s">
        <v>426</v>
      </c>
      <c r="D673" t="s">
        <v>980</v>
      </c>
      <c r="E673" t="s">
        <v>981</v>
      </c>
      <c r="F673" t="s">
        <v>895</v>
      </c>
    </row>
    <row r="674" spans="1:6" x14ac:dyDescent="0.55000000000000004">
      <c r="A674">
        <v>30023</v>
      </c>
      <c r="B674" t="s">
        <v>407</v>
      </c>
      <c r="C674" t="s">
        <v>408</v>
      </c>
      <c r="D674" t="s">
        <v>1090</v>
      </c>
      <c r="E674" t="s">
        <v>995</v>
      </c>
      <c r="F674" t="s">
        <v>895</v>
      </c>
    </row>
    <row r="675" spans="1:6" x14ac:dyDescent="0.55000000000000004">
      <c r="A675">
        <v>30024</v>
      </c>
      <c r="B675" t="s">
        <v>401</v>
      </c>
      <c r="C675" t="s">
        <v>402</v>
      </c>
      <c r="D675" t="s">
        <v>1042</v>
      </c>
      <c r="E675" t="s">
        <v>981</v>
      </c>
      <c r="F675" t="s">
        <v>895</v>
      </c>
    </row>
    <row r="676" spans="1:6" x14ac:dyDescent="0.55000000000000004">
      <c r="A676">
        <v>30028</v>
      </c>
      <c r="B676" t="s">
        <v>753</v>
      </c>
      <c r="C676" t="s">
        <v>754</v>
      </c>
      <c r="D676" t="s">
        <v>1091</v>
      </c>
      <c r="E676" t="s">
        <v>958</v>
      </c>
      <c r="F676" t="s">
        <v>895</v>
      </c>
    </row>
    <row r="677" spans="1:6" x14ac:dyDescent="0.55000000000000004">
      <c r="A677">
        <v>30031</v>
      </c>
      <c r="B677" t="s">
        <v>763</v>
      </c>
      <c r="C677" t="s">
        <v>764</v>
      </c>
      <c r="D677" t="s">
        <v>1092</v>
      </c>
      <c r="E677" t="s">
        <v>983</v>
      </c>
      <c r="F677" t="s">
        <v>895</v>
      </c>
    </row>
    <row r="678" spans="1:6" x14ac:dyDescent="0.55000000000000004">
      <c r="A678">
        <v>30032</v>
      </c>
      <c r="B678" t="s">
        <v>769</v>
      </c>
      <c r="C678" t="s">
        <v>770</v>
      </c>
      <c r="D678" t="s">
        <v>1093</v>
      </c>
      <c r="E678" t="s">
        <v>956</v>
      </c>
      <c r="F678" t="s">
        <v>895</v>
      </c>
    </row>
    <row r="679" spans="1:6" x14ac:dyDescent="0.55000000000000004">
      <c r="A679">
        <v>30033</v>
      </c>
      <c r="B679" t="s">
        <v>775</v>
      </c>
      <c r="C679" t="s">
        <v>776</v>
      </c>
      <c r="D679" t="s">
        <v>1094</v>
      </c>
      <c r="E679" t="s">
        <v>1011</v>
      </c>
      <c r="F679" t="s">
        <v>895</v>
      </c>
    </row>
    <row r="680" spans="1:6" x14ac:dyDescent="0.55000000000000004">
      <c r="A680">
        <v>30034</v>
      </c>
      <c r="B680" t="s">
        <v>777</v>
      </c>
      <c r="C680" t="s">
        <v>778</v>
      </c>
      <c r="D680" t="s">
        <v>1076</v>
      </c>
      <c r="E680" t="s">
        <v>983</v>
      </c>
      <c r="F680" t="s">
        <v>895</v>
      </c>
    </row>
    <row r="681" spans="1:6" x14ac:dyDescent="0.55000000000000004">
      <c r="A681">
        <v>30035</v>
      </c>
      <c r="B681" t="s">
        <v>783</v>
      </c>
      <c r="C681" t="s">
        <v>784</v>
      </c>
      <c r="D681" t="s">
        <v>1095</v>
      </c>
      <c r="E681" t="s">
        <v>966</v>
      </c>
      <c r="F681" t="s">
        <v>895</v>
      </c>
    </row>
    <row r="682" spans="1:6" x14ac:dyDescent="0.55000000000000004">
      <c r="A682">
        <v>30036</v>
      </c>
      <c r="B682" t="s">
        <v>789</v>
      </c>
      <c r="C682" t="s">
        <v>790</v>
      </c>
      <c r="D682" t="s">
        <v>1059</v>
      </c>
      <c r="E682" t="s">
        <v>958</v>
      </c>
      <c r="F682" t="s">
        <v>895</v>
      </c>
    </row>
    <row r="683" spans="1:6" x14ac:dyDescent="0.55000000000000004">
      <c r="A683">
        <v>30039</v>
      </c>
      <c r="B683" t="s">
        <v>799</v>
      </c>
      <c r="C683" t="s">
        <v>800</v>
      </c>
      <c r="D683" t="s">
        <v>1096</v>
      </c>
      <c r="E683" t="s">
        <v>995</v>
      </c>
      <c r="F683" t="s">
        <v>895</v>
      </c>
    </row>
    <row r="684" spans="1:6" x14ac:dyDescent="0.55000000000000004">
      <c r="A684">
        <v>30040</v>
      </c>
      <c r="B684" t="s">
        <v>805</v>
      </c>
      <c r="C684" t="s">
        <v>806</v>
      </c>
      <c r="D684" t="s">
        <v>1085</v>
      </c>
      <c r="E684" t="s">
        <v>958</v>
      </c>
      <c r="F684" t="s">
        <v>895</v>
      </c>
    </row>
    <row r="685" spans="1:6" x14ac:dyDescent="0.55000000000000004">
      <c r="A685">
        <v>30045</v>
      </c>
      <c r="B685" t="s">
        <v>633</v>
      </c>
      <c r="C685" t="s">
        <v>634</v>
      </c>
      <c r="D685" t="s">
        <v>1097</v>
      </c>
      <c r="E685" t="s">
        <v>983</v>
      </c>
      <c r="F685" t="s">
        <v>895</v>
      </c>
    </row>
    <row r="686" spans="1:6" x14ac:dyDescent="0.55000000000000004">
      <c r="A686">
        <v>30046</v>
      </c>
      <c r="B686" t="s">
        <v>639</v>
      </c>
      <c r="C686" t="s">
        <v>640</v>
      </c>
      <c r="D686" t="s">
        <v>1098</v>
      </c>
      <c r="E686" t="s">
        <v>966</v>
      </c>
      <c r="F686" t="s">
        <v>895</v>
      </c>
    </row>
    <row r="687" spans="1:6" x14ac:dyDescent="0.55000000000000004">
      <c r="A687">
        <v>30051</v>
      </c>
      <c r="B687" t="s">
        <v>657</v>
      </c>
      <c r="C687" t="s">
        <v>658</v>
      </c>
      <c r="D687" t="s">
        <v>1084</v>
      </c>
      <c r="E687" t="s">
        <v>981</v>
      </c>
      <c r="F687" t="s">
        <v>895</v>
      </c>
    </row>
    <row r="688" spans="1:6" x14ac:dyDescent="0.55000000000000004">
      <c r="A688">
        <v>30055</v>
      </c>
      <c r="B688" t="s">
        <v>499</v>
      </c>
      <c r="C688" t="s">
        <v>500</v>
      </c>
      <c r="D688" t="s">
        <v>999</v>
      </c>
      <c r="E688" t="s">
        <v>956</v>
      </c>
      <c r="F688" t="s">
        <v>895</v>
      </c>
    </row>
    <row r="689" spans="1:6" x14ac:dyDescent="0.55000000000000004">
      <c r="A689">
        <v>30061</v>
      </c>
      <c r="B689" t="s">
        <v>523</v>
      </c>
      <c r="C689" t="s">
        <v>524</v>
      </c>
      <c r="D689" t="s">
        <v>1099</v>
      </c>
      <c r="E689" t="s">
        <v>966</v>
      </c>
      <c r="F689" t="s">
        <v>895</v>
      </c>
    </row>
    <row r="690" spans="1:6" x14ac:dyDescent="0.55000000000000004">
      <c r="A690">
        <v>30064</v>
      </c>
      <c r="B690" t="s">
        <v>171</v>
      </c>
      <c r="C690" t="s">
        <v>172</v>
      </c>
      <c r="D690" t="s">
        <v>1100</v>
      </c>
      <c r="E690" t="s">
        <v>981</v>
      </c>
      <c r="F690" t="s">
        <v>895</v>
      </c>
    </row>
    <row r="691" spans="1:6" x14ac:dyDescent="0.55000000000000004">
      <c r="A691">
        <v>30070</v>
      </c>
      <c r="B691" t="s">
        <v>149</v>
      </c>
      <c r="C691" t="s">
        <v>150</v>
      </c>
      <c r="D691" t="s">
        <v>1101</v>
      </c>
      <c r="E691" t="s">
        <v>954</v>
      </c>
      <c r="F691" t="s">
        <v>895</v>
      </c>
    </row>
    <row r="692" spans="1:6" x14ac:dyDescent="0.55000000000000004">
      <c r="A692">
        <v>30071</v>
      </c>
      <c r="B692" t="s">
        <v>147</v>
      </c>
      <c r="C692" t="s">
        <v>148</v>
      </c>
      <c r="D692" t="s">
        <v>1102</v>
      </c>
      <c r="E692" t="s">
        <v>981</v>
      </c>
      <c r="F692" t="s">
        <v>895</v>
      </c>
    </row>
    <row r="693" spans="1:6" x14ac:dyDescent="0.55000000000000004">
      <c r="A693">
        <v>30076</v>
      </c>
      <c r="B693" t="s">
        <v>683</v>
      </c>
      <c r="C693" t="s">
        <v>684</v>
      </c>
      <c r="D693" t="s">
        <v>1103</v>
      </c>
      <c r="E693" t="s">
        <v>968</v>
      </c>
      <c r="F693" t="s">
        <v>895</v>
      </c>
    </row>
    <row r="694" spans="1:6" x14ac:dyDescent="0.55000000000000004">
      <c r="A694">
        <v>30080</v>
      </c>
      <c r="B694" t="s">
        <v>613</v>
      </c>
      <c r="C694" t="s">
        <v>614</v>
      </c>
      <c r="D694" t="s">
        <v>1104</v>
      </c>
      <c r="E694" t="s">
        <v>981</v>
      </c>
      <c r="F694" t="s">
        <v>895</v>
      </c>
    </row>
    <row r="695" spans="1:6" x14ac:dyDescent="0.55000000000000004">
      <c r="A695">
        <v>30090</v>
      </c>
      <c r="B695" t="s">
        <v>355</v>
      </c>
      <c r="C695" t="s">
        <v>356</v>
      </c>
      <c r="D695" t="s">
        <v>1028</v>
      </c>
      <c r="E695" t="s">
        <v>966</v>
      </c>
      <c r="F695" t="s">
        <v>895</v>
      </c>
    </row>
    <row r="696" spans="1:6" x14ac:dyDescent="0.55000000000000004">
      <c r="A696">
        <v>30095</v>
      </c>
      <c r="B696" t="s">
        <v>333</v>
      </c>
      <c r="C696" t="s">
        <v>334</v>
      </c>
      <c r="D696" t="s">
        <v>972</v>
      </c>
      <c r="E696" t="s">
        <v>966</v>
      </c>
      <c r="F696" t="s">
        <v>895</v>
      </c>
    </row>
    <row r="697" spans="1:6" x14ac:dyDescent="0.55000000000000004">
      <c r="A697">
        <v>30105</v>
      </c>
      <c r="B697" t="s">
        <v>823</v>
      </c>
      <c r="C697" t="s">
        <v>824</v>
      </c>
      <c r="D697" t="s">
        <v>1105</v>
      </c>
      <c r="E697" t="s">
        <v>983</v>
      </c>
      <c r="F697" t="s">
        <v>895</v>
      </c>
    </row>
    <row r="698" spans="1:6" x14ac:dyDescent="0.55000000000000004">
      <c r="A698">
        <v>30106</v>
      </c>
      <c r="B698" t="s">
        <v>829</v>
      </c>
      <c r="C698" t="s">
        <v>830</v>
      </c>
      <c r="D698" t="s">
        <v>1106</v>
      </c>
      <c r="E698" t="s">
        <v>966</v>
      </c>
      <c r="F698" t="s">
        <v>895</v>
      </c>
    </row>
    <row r="699" spans="1:6" x14ac:dyDescent="0.55000000000000004">
      <c r="A699">
        <v>30107</v>
      </c>
      <c r="B699" t="s">
        <v>835</v>
      </c>
      <c r="C699" t="s">
        <v>836</v>
      </c>
      <c r="D699" t="s">
        <v>1107</v>
      </c>
      <c r="E699" t="s">
        <v>963</v>
      </c>
      <c r="F699" t="s">
        <v>895</v>
      </c>
    </row>
    <row r="700" spans="1:6" x14ac:dyDescent="0.55000000000000004">
      <c r="A700">
        <v>30109</v>
      </c>
      <c r="B700" t="s">
        <v>845</v>
      </c>
      <c r="C700" t="s">
        <v>846</v>
      </c>
      <c r="D700" t="s">
        <v>1108</v>
      </c>
      <c r="E700" t="s">
        <v>970</v>
      </c>
      <c r="F700" t="s">
        <v>895</v>
      </c>
    </row>
    <row r="701" spans="1:6" x14ac:dyDescent="0.55000000000000004">
      <c r="A701">
        <v>30111</v>
      </c>
      <c r="B701" t="s">
        <v>453</v>
      </c>
      <c r="C701" t="s">
        <v>454</v>
      </c>
      <c r="D701" t="s">
        <v>1109</v>
      </c>
      <c r="E701" t="s">
        <v>995</v>
      </c>
      <c r="F701" t="s">
        <v>895</v>
      </c>
    </row>
    <row r="702" spans="1:6" x14ac:dyDescent="0.55000000000000004">
      <c r="A702">
        <v>30112</v>
      </c>
      <c r="B702" t="s">
        <v>447</v>
      </c>
      <c r="C702" t="s">
        <v>448</v>
      </c>
      <c r="D702" t="s">
        <v>1110</v>
      </c>
      <c r="E702" t="s">
        <v>981</v>
      </c>
      <c r="F702" t="s">
        <v>895</v>
      </c>
    </row>
    <row r="703" spans="1:6" x14ac:dyDescent="0.55000000000000004">
      <c r="A703">
        <v>30117</v>
      </c>
      <c r="B703" t="s">
        <v>431</v>
      </c>
      <c r="C703" t="s">
        <v>432</v>
      </c>
      <c r="D703" t="s">
        <v>1021</v>
      </c>
      <c r="E703" t="s">
        <v>966</v>
      </c>
      <c r="F703" t="s">
        <v>895</v>
      </c>
    </row>
    <row r="704" spans="1:6" x14ac:dyDescent="0.55000000000000004">
      <c r="A704">
        <v>30118</v>
      </c>
      <c r="B704" t="s">
        <v>429</v>
      </c>
      <c r="C704" t="s">
        <v>430</v>
      </c>
      <c r="D704" t="s">
        <v>999</v>
      </c>
      <c r="E704" t="s">
        <v>956</v>
      </c>
      <c r="F704" t="s">
        <v>895</v>
      </c>
    </row>
    <row r="705" spans="1:6" x14ac:dyDescent="0.55000000000000004">
      <c r="A705">
        <v>29494</v>
      </c>
      <c r="B705" t="s">
        <v>713</v>
      </c>
      <c r="C705" t="s">
        <v>714</v>
      </c>
      <c r="D705" t="s">
        <v>1111</v>
      </c>
      <c r="E705" t="s">
        <v>916</v>
      </c>
      <c r="F705" t="s">
        <v>1112</v>
      </c>
    </row>
    <row r="706" spans="1:6" x14ac:dyDescent="0.55000000000000004">
      <c r="A706">
        <v>29499</v>
      </c>
      <c r="B706" t="s">
        <v>649</v>
      </c>
      <c r="C706" t="s">
        <v>650</v>
      </c>
      <c r="D706" t="s">
        <v>1113</v>
      </c>
      <c r="E706" t="s">
        <v>1114</v>
      </c>
      <c r="F706" t="s">
        <v>1112</v>
      </c>
    </row>
    <row r="707" spans="1:6" x14ac:dyDescent="0.55000000000000004">
      <c r="A707">
        <v>29503</v>
      </c>
      <c r="B707" t="s">
        <v>737</v>
      </c>
      <c r="C707" t="s">
        <v>738</v>
      </c>
      <c r="D707" t="s">
        <v>1115</v>
      </c>
      <c r="E707" t="s">
        <v>1116</v>
      </c>
      <c r="F707" t="s">
        <v>1112</v>
      </c>
    </row>
    <row r="708" spans="1:6" x14ac:dyDescent="0.55000000000000004">
      <c r="A708">
        <v>29510</v>
      </c>
      <c r="B708" t="s">
        <v>735</v>
      </c>
      <c r="C708" t="s">
        <v>736</v>
      </c>
      <c r="D708" t="s">
        <v>1117</v>
      </c>
      <c r="E708" t="s">
        <v>916</v>
      </c>
      <c r="F708" t="s">
        <v>1112</v>
      </c>
    </row>
    <row r="709" spans="1:6" x14ac:dyDescent="0.55000000000000004">
      <c r="A709">
        <v>29515</v>
      </c>
      <c r="B709" t="s">
        <v>465</v>
      </c>
      <c r="C709" t="s">
        <v>466</v>
      </c>
      <c r="D709" t="s">
        <v>1118</v>
      </c>
      <c r="E709" t="s">
        <v>1119</v>
      </c>
      <c r="F709" t="s">
        <v>1112</v>
      </c>
    </row>
    <row r="710" spans="1:6" x14ac:dyDescent="0.55000000000000004">
      <c r="A710">
        <v>29527</v>
      </c>
      <c r="B710" t="s">
        <v>535</v>
      </c>
      <c r="C710" t="s">
        <v>536</v>
      </c>
      <c r="D710" t="s">
        <v>1115</v>
      </c>
      <c r="E710" t="s">
        <v>1116</v>
      </c>
      <c r="F710" t="s">
        <v>1112</v>
      </c>
    </row>
    <row r="711" spans="1:6" x14ac:dyDescent="0.55000000000000004">
      <c r="A711">
        <v>29530</v>
      </c>
      <c r="B711" t="s">
        <v>395</v>
      </c>
      <c r="C711" t="s">
        <v>396</v>
      </c>
      <c r="D711" t="s">
        <v>1120</v>
      </c>
      <c r="E711" t="s">
        <v>916</v>
      </c>
      <c r="F711" t="s">
        <v>1112</v>
      </c>
    </row>
    <row r="712" spans="1:6" x14ac:dyDescent="0.55000000000000004">
      <c r="A712">
        <v>29539</v>
      </c>
      <c r="B712" t="s">
        <v>281</v>
      </c>
      <c r="C712" t="s">
        <v>282</v>
      </c>
      <c r="D712" t="s">
        <v>1111</v>
      </c>
      <c r="E712" t="s">
        <v>916</v>
      </c>
      <c r="F712" t="s">
        <v>1112</v>
      </c>
    </row>
    <row r="713" spans="1:6" x14ac:dyDescent="0.55000000000000004">
      <c r="A713">
        <v>29541</v>
      </c>
      <c r="B713" t="s">
        <v>185</v>
      </c>
      <c r="C713" t="s">
        <v>186</v>
      </c>
      <c r="D713" t="s">
        <v>1118</v>
      </c>
      <c r="E713" t="s">
        <v>1119</v>
      </c>
      <c r="F713" t="s">
        <v>1112</v>
      </c>
    </row>
    <row r="714" spans="1:6" x14ac:dyDescent="0.55000000000000004">
      <c r="A714">
        <v>29544</v>
      </c>
      <c r="B714" t="s">
        <v>583</v>
      </c>
      <c r="C714" t="s">
        <v>584</v>
      </c>
      <c r="D714" t="s">
        <v>1118</v>
      </c>
      <c r="E714" t="s">
        <v>1119</v>
      </c>
      <c r="F714" t="s">
        <v>1112</v>
      </c>
    </row>
    <row r="715" spans="1:6" x14ac:dyDescent="0.55000000000000004">
      <c r="A715">
        <v>29546</v>
      </c>
      <c r="B715" t="s">
        <v>33</v>
      </c>
      <c r="C715" t="s">
        <v>34</v>
      </c>
      <c r="D715" t="s">
        <v>1121</v>
      </c>
      <c r="E715" t="s">
        <v>1122</v>
      </c>
      <c r="F715" t="s">
        <v>1123</v>
      </c>
    </row>
    <row r="716" spans="1:6" x14ac:dyDescent="0.55000000000000004">
      <c r="A716">
        <v>29548</v>
      </c>
      <c r="B716" t="s">
        <v>419</v>
      </c>
      <c r="C716" t="s">
        <v>420</v>
      </c>
      <c r="D716" t="s">
        <v>1124</v>
      </c>
      <c r="E716" t="s">
        <v>1114</v>
      </c>
      <c r="F716" t="s">
        <v>1112</v>
      </c>
    </row>
    <row r="717" spans="1:6" x14ac:dyDescent="0.55000000000000004">
      <c r="A717">
        <v>29557</v>
      </c>
      <c r="B717" t="s">
        <v>537</v>
      </c>
      <c r="C717" t="s">
        <v>538</v>
      </c>
      <c r="D717" t="s">
        <v>1113</v>
      </c>
      <c r="E717" t="s">
        <v>1114</v>
      </c>
      <c r="F717" t="s">
        <v>1112</v>
      </c>
    </row>
    <row r="718" spans="1:6" x14ac:dyDescent="0.55000000000000004">
      <c r="A718">
        <v>29558</v>
      </c>
      <c r="B718" t="s">
        <v>441</v>
      </c>
      <c r="C718" t="s">
        <v>442</v>
      </c>
      <c r="D718" t="s">
        <v>1125</v>
      </c>
      <c r="E718" t="s">
        <v>916</v>
      </c>
      <c r="F718" t="s">
        <v>1112</v>
      </c>
    </row>
    <row r="719" spans="1:6" x14ac:dyDescent="0.55000000000000004">
      <c r="A719">
        <v>29567</v>
      </c>
      <c r="B719" t="s">
        <v>51</v>
      </c>
      <c r="C719" t="s">
        <v>52</v>
      </c>
      <c r="D719" t="s">
        <v>1111</v>
      </c>
      <c r="E719" t="s">
        <v>916</v>
      </c>
      <c r="F719" t="s">
        <v>1112</v>
      </c>
    </row>
    <row r="720" spans="1:6" x14ac:dyDescent="0.55000000000000004">
      <c r="A720">
        <v>29576</v>
      </c>
      <c r="B720" t="s">
        <v>555</v>
      </c>
      <c r="C720" t="s">
        <v>556</v>
      </c>
      <c r="D720" t="s">
        <v>1126</v>
      </c>
      <c r="E720" t="s">
        <v>916</v>
      </c>
      <c r="F720" t="s">
        <v>1112</v>
      </c>
    </row>
    <row r="721" spans="1:6" x14ac:dyDescent="0.55000000000000004">
      <c r="A721">
        <v>29577</v>
      </c>
      <c r="B721" t="s">
        <v>209</v>
      </c>
      <c r="C721" t="s">
        <v>210</v>
      </c>
      <c r="D721" t="s">
        <v>1115</v>
      </c>
      <c r="E721" t="s">
        <v>1116</v>
      </c>
      <c r="F721" t="s">
        <v>1112</v>
      </c>
    </row>
    <row r="722" spans="1:6" x14ac:dyDescent="0.55000000000000004">
      <c r="A722">
        <v>29587</v>
      </c>
      <c r="B722" t="s">
        <v>695</v>
      </c>
      <c r="C722" t="s">
        <v>696</v>
      </c>
      <c r="D722" t="s">
        <v>1121</v>
      </c>
      <c r="E722" t="s">
        <v>1122</v>
      </c>
      <c r="F722" t="s">
        <v>1123</v>
      </c>
    </row>
    <row r="723" spans="1:6" x14ac:dyDescent="0.55000000000000004">
      <c r="A723">
        <v>29596</v>
      </c>
      <c r="B723" t="s">
        <v>119</v>
      </c>
      <c r="C723" t="s">
        <v>120</v>
      </c>
      <c r="D723" t="s">
        <v>1120</v>
      </c>
      <c r="E723" t="s">
        <v>916</v>
      </c>
      <c r="F723" t="s">
        <v>1112</v>
      </c>
    </row>
    <row r="724" spans="1:6" x14ac:dyDescent="0.55000000000000004">
      <c r="A724">
        <v>29601</v>
      </c>
      <c r="B724" t="s">
        <v>559</v>
      </c>
      <c r="C724" t="s">
        <v>560</v>
      </c>
      <c r="D724" t="s">
        <v>1127</v>
      </c>
      <c r="E724" t="s">
        <v>916</v>
      </c>
      <c r="F724" t="s">
        <v>1112</v>
      </c>
    </row>
    <row r="725" spans="1:6" x14ac:dyDescent="0.55000000000000004">
      <c r="A725">
        <v>29603</v>
      </c>
      <c r="B725" t="s">
        <v>581</v>
      </c>
      <c r="C725" t="s">
        <v>582</v>
      </c>
      <c r="D725" t="s">
        <v>1126</v>
      </c>
      <c r="E725" t="s">
        <v>916</v>
      </c>
      <c r="F725" t="s">
        <v>1112</v>
      </c>
    </row>
    <row r="726" spans="1:6" x14ac:dyDescent="0.55000000000000004">
      <c r="A726">
        <v>29608</v>
      </c>
      <c r="B726" t="s">
        <v>345</v>
      </c>
      <c r="C726" t="s">
        <v>346</v>
      </c>
      <c r="D726" t="s">
        <v>1128</v>
      </c>
      <c r="E726" t="s">
        <v>1114</v>
      </c>
      <c r="F726" t="s">
        <v>1112</v>
      </c>
    </row>
    <row r="727" spans="1:6" x14ac:dyDescent="0.55000000000000004">
      <c r="A727">
        <v>29612</v>
      </c>
      <c r="B727" t="s">
        <v>349</v>
      </c>
      <c r="C727" t="s">
        <v>350</v>
      </c>
      <c r="D727" t="s">
        <v>1129</v>
      </c>
      <c r="E727" t="s">
        <v>1122</v>
      </c>
      <c r="F727" t="s">
        <v>1123</v>
      </c>
    </row>
    <row r="728" spans="1:6" x14ac:dyDescent="0.55000000000000004">
      <c r="A728">
        <v>29614</v>
      </c>
      <c r="B728" t="s">
        <v>671</v>
      </c>
      <c r="C728" t="s">
        <v>672</v>
      </c>
      <c r="D728" t="s">
        <v>1113</v>
      </c>
      <c r="E728" t="s">
        <v>1114</v>
      </c>
      <c r="F728" t="s">
        <v>1112</v>
      </c>
    </row>
    <row r="729" spans="1:6" x14ac:dyDescent="0.55000000000000004">
      <c r="A729">
        <v>29615</v>
      </c>
      <c r="B729" t="s">
        <v>677</v>
      </c>
      <c r="C729" t="s">
        <v>678</v>
      </c>
      <c r="D729" t="s">
        <v>1121</v>
      </c>
      <c r="E729" t="s">
        <v>1122</v>
      </c>
      <c r="F729" t="s">
        <v>1123</v>
      </c>
    </row>
    <row r="730" spans="1:6" x14ac:dyDescent="0.55000000000000004">
      <c r="A730">
        <v>29618</v>
      </c>
      <c r="B730" t="s">
        <v>561</v>
      </c>
      <c r="C730" t="s">
        <v>562</v>
      </c>
      <c r="D730" t="s">
        <v>1130</v>
      </c>
      <c r="E730" t="s">
        <v>1122</v>
      </c>
      <c r="F730" t="s">
        <v>1123</v>
      </c>
    </row>
    <row r="731" spans="1:6" x14ac:dyDescent="0.55000000000000004">
      <c r="A731">
        <v>29620</v>
      </c>
      <c r="B731" t="s">
        <v>463</v>
      </c>
      <c r="C731" t="s">
        <v>464</v>
      </c>
      <c r="D731" t="s">
        <v>1131</v>
      </c>
      <c r="E731" t="s">
        <v>1132</v>
      </c>
      <c r="F731" t="s">
        <v>1112</v>
      </c>
    </row>
    <row r="732" spans="1:6" x14ac:dyDescent="0.55000000000000004">
      <c r="A732">
        <v>29625</v>
      </c>
      <c r="B732" t="s">
        <v>367</v>
      </c>
      <c r="C732" t="s">
        <v>368</v>
      </c>
      <c r="D732" t="s">
        <v>1115</v>
      </c>
      <c r="E732" t="s">
        <v>1116</v>
      </c>
      <c r="F732" t="s">
        <v>1112</v>
      </c>
    </row>
    <row r="733" spans="1:6" x14ac:dyDescent="0.55000000000000004">
      <c r="A733">
        <v>29627</v>
      </c>
      <c r="B733" t="s">
        <v>31</v>
      </c>
      <c r="C733" t="s">
        <v>32</v>
      </c>
      <c r="D733" t="s">
        <v>1111</v>
      </c>
      <c r="E733" t="s">
        <v>916</v>
      </c>
      <c r="F733" t="s">
        <v>1112</v>
      </c>
    </row>
    <row r="734" spans="1:6" x14ac:dyDescent="0.55000000000000004">
      <c r="A734">
        <v>29629</v>
      </c>
      <c r="B734" t="s">
        <v>205</v>
      </c>
      <c r="C734" t="s">
        <v>206</v>
      </c>
      <c r="D734" t="s">
        <v>1133</v>
      </c>
      <c r="E734" t="s">
        <v>1114</v>
      </c>
      <c r="F734" t="s">
        <v>1112</v>
      </c>
    </row>
    <row r="735" spans="1:6" x14ac:dyDescent="0.55000000000000004">
      <c r="A735">
        <v>29639</v>
      </c>
      <c r="B735" t="s">
        <v>207</v>
      </c>
      <c r="C735" t="s">
        <v>208</v>
      </c>
      <c r="D735" t="s">
        <v>1111</v>
      </c>
      <c r="E735" t="s">
        <v>916</v>
      </c>
      <c r="F735" t="s">
        <v>1112</v>
      </c>
    </row>
    <row r="736" spans="1:6" x14ac:dyDescent="0.55000000000000004">
      <c r="A736">
        <v>29644</v>
      </c>
      <c r="B736" t="s">
        <v>211</v>
      </c>
      <c r="C736" t="s">
        <v>212</v>
      </c>
      <c r="D736" t="s">
        <v>1134</v>
      </c>
      <c r="E736" t="s">
        <v>1122</v>
      </c>
      <c r="F736" t="s">
        <v>1123</v>
      </c>
    </row>
    <row r="737" spans="1:6" x14ac:dyDescent="0.55000000000000004">
      <c r="A737">
        <v>29649</v>
      </c>
      <c r="B737" t="s">
        <v>759</v>
      </c>
      <c r="C737" t="s">
        <v>760</v>
      </c>
      <c r="D737" t="s">
        <v>1128</v>
      </c>
      <c r="E737" t="s">
        <v>1114</v>
      </c>
      <c r="F737" t="s">
        <v>1112</v>
      </c>
    </row>
    <row r="738" spans="1:6" x14ac:dyDescent="0.55000000000000004">
      <c r="A738">
        <v>29666</v>
      </c>
      <c r="B738" t="s">
        <v>187</v>
      </c>
      <c r="C738" t="s">
        <v>188</v>
      </c>
      <c r="D738" t="s">
        <v>1133</v>
      </c>
      <c r="E738" t="s">
        <v>1114</v>
      </c>
      <c r="F738" t="s">
        <v>1112</v>
      </c>
    </row>
    <row r="739" spans="1:6" x14ac:dyDescent="0.55000000000000004">
      <c r="A739">
        <v>29671</v>
      </c>
      <c r="B739" t="s">
        <v>165</v>
      </c>
      <c r="C739" t="s">
        <v>166</v>
      </c>
      <c r="D739" t="s">
        <v>1115</v>
      </c>
      <c r="E739" t="s">
        <v>1116</v>
      </c>
      <c r="F739" t="s">
        <v>1112</v>
      </c>
    </row>
    <row r="740" spans="1:6" x14ac:dyDescent="0.55000000000000004">
      <c r="A740">
        <v>29677</v>
      </c>
      <c r="B740" t="s">
        <v>141</v>
      </c>
      <c r="C740" t="s">
        <v>142</v>
      </c>
      <c r="D740" t="s">
        <v>1111</v>
      </c>
      <c r="E740" t="s">
        <v>916</v>
      </c>
      <c r="F740" t="s">
        <v>1112</v>
      </c>
    </row>
    <row r="741" spans="1:6" x14ac:dyDescent="0.55000000000000004">
      <c r="A741">
        <v>29680</v>
      </c>
      <c r="B741" t="s">
        <v>511</v>
      </c>
      <c r="C741" t="s">
        <v>512</v>
      </c>
      <c r="D741" t="s">
        <v>1135</v>
      </c>
      <c r="E741" t="s">
        <v>1114</v>
      </c>
      <c r="F741" t="s">
        <v>1112</v>
      </c>
    </row>
    <row r="742" spans="1:6" x14ac:dyDescent="0.55000000000000004">
      <c r="A742">
        <v>29692</v>
      </c>
      <c r="B742" t="s">
        <v>393</v>
      </c>
      <c r="C742" t="s">
        <v>394</v>
      </c>
      <c r="D742" t="s">
        <v>1136</v>
      </c>
      <c r="E742" t="s">
        <v>1137</v>
      </c>
      <c r="F742" t="s">
        <v>1112</v>
      </c>
    </row>
    <row r="743" spans="1:6" x14ac:dyDescent="0.55000000000000004">
      <c r="A743">
        <v>29698</v>
      </c>
      <c r="B743" t="s">
        <v>417</v>
      </c>
      <c r="C743" t="s">
        <v>418</v>
      </c>
      <c r="D743" t="s">
        <v>1128</v>
      </c>
      <c r="E743" t="s">
        <v>1114</v>
      </c>
      <c r="F743" t="s">
        <v>1112</v>
      </c>
    </row>
    <row r="744" spans="1:6" x14ac:dyDescent="0.55000000000000004">
      <c r="A744">
        <v>29699</v>
      </c>
      <c r="B744" t="s">
        <v>99</v>
      </c>
      <c r="C744" t="s">
        <v>100</v>
      </c>
      <c r="D744" t="s">
        <v>1128</v>
      </c>
      <c r="E744" t="s">
        <v>1114</v>
      </c>
      <c r="F744" t="s">
        <v>1112</v>
      </c>
    </row>
    <row r="745" spans="1:6" x14ac:dyDescent="0.55000000000000004">
      <c r="A745">
        <v>29705</v>
      </c>
      <c r="B745" t="s">
        <v>121</v>
      </c>
      <c r="C745" t="s">
        <v>122</v>
      </c>
      <c r="D745" t="s">
        <v>1138</v>
      </c>
      <c r="E745" t="s">
        <v>916</v>
      </c>
      <c r="F745" t="s">
        <v>1112</v>
      </c>
    </row>
    <row r="746" spans="1:6" x14ac:dyDescent="0.55000000000000004">
      <c r="A746">
        <v>29711</v>
      </c>
      <c r="B746" t="s">
        <v>227</v>
      </c>
      <c r="C746" t="s">
        <v>228</v>
      </c>
      <c r="D746" t="s">
        <v>1113</v>
      </c>
      <c r="E746" t="s">
        <v>1114</v>
      </c>
      <c r="F746" t="s">
        <v>1112</v>
      </c>
    </row>
    <row r="747" spans="1:6" x14ac:dyDescent="0.55000000000000004">
      <c r="A747">
        <v>29713</v>
      </c>
      <c r="B747" t="s">
        <v>233</v>
      </c>
      <c r="C747" t="s">
        <v>234</v>
      </c>
      <c r="D747" t="s">
        <v>1139</v>
      </c>
      <c r="E747" t="s">
        <v>1122</v>
      </c>
      <c r="F747" t="s">
        <v>1123</v>
      </c>
    </row>
    <row r="748" spans="1:6" x14ac:dyDescent="0.55000000000000004">
      <c r="A748">
        <v>29714</v>
      </c>
      <c r="B748" t="s">
        <v>229</v>
      </c>
      <c r="C748" t="s">
        <v>230</v>
      </c>
      <c r="D748" t="s">
        <v>1133</v>
      </c>
      <c r="E748" t="s">
        <v>1114</v>
      </c>
      <c r="F748" t="s">
        <v>1112</v>
      </c>
    </row>
    <row r="749" spans="1:6" x14ac:dyDescent="0.55000000000000004">
      <c r="A749">
        <v>29722</v>
      </c>
      <c r="B749" t="s">
        <v>867</v>
      </c>
      <c r="C749" t="s">
        <v>868</v>
      </c>
      <c r="D749" t="s">
        <v>1111</v>
      </c>
      <c r="E749" t="s">
        <v>916</v>
      </c>
      <c r="F749" t="s">
        <v>1112</v>
      </c>
    </row>
    <row r="750" spans="1:6" x14ac:dyDescent="0.55000000000000004">
      <c r="A750">
        <v>29730</v>
      </c>
      <c r="B750" t="s">
        <v>891</v>
      </c>
      <c r="C750" t="s">
        <v>892</v>
      </c>
      <c r="D750" t="s">
        <v>1118</v>
      </c>
      <c r="E750" t="s">
        <v>1119</v>
      </c>
      <c r="F750" t="s">
        <v>1112</v>
      </c>
    </row>
    <row r="751" spans="1:6" x14ac:dyDescent="0.55000000000000004">
      <c r="A751">
        <v>29734</v>
      </c>
      <c r="B751" t="s">
        <v>579</v>
      </c>
      <c r="C751" t="s">
        <v>580</v>
      </c>
      <c r="D751" t="s">
        <v>1111</v>
      </c>
      <c r="E751" t="s">
        <v>916</v>
      </c>
      <c r="F751" t="s">
        <v>1112</v>
      </c>
    </row>
    <row r="752" spans="1:6" x14ac:dyDescent="0.55000000000000004">
      <c r="A752">
        <v>29736</v>
      </c>
      <c r="B752" t="s">
        <v>585</v>
      </c>
      <c r="C752" t="s">
        <v>586</v>
      </c>
      <c r="D752" t="s">
        <v>1140</v>
      </c>
      <c r="E752" t="s">
        <v>1122</v>
      </c>
      <c r="F752" t="s">
        <v>1123</v>
      </c>
    </row>
    <row r="753" spans="1:6" x14ac:dyDescent="0.55000000000000004">
      <c r="A753">
        <v>29740</v>
      </c>
      <c r="B753" t="s">
        <v>601</v>
      </c>
      <c r="C753" t="s">
        <v>602</v>
      </c>
      <c r="D753" t="s">
        <v>1141</v>
      </c>
      <c r="E753" t="s">
        <v>1116</v>
      </c>
      <c r="F753" t="s">
        <v>1112</v>
      </c>
    </row>
    <row r="754" spans="1:6" x14ac:dyDescent="0.55000000000000004">
      <c r="A754">
        <v>29741</v>
      </c>
      <c r="B754" t="s">
        <v>607</v>
      </c>
      <c r="C754" t="s">
        <v>608</v>
      </c>
      <c r="D754" t="s">
        <v>1142</v>
      </c>
      <c r="E754" t="s">
        <v>1122</v>
      </c>
      <c r="F754" t="s">
        <v>1123</v>
      </c>
    </row>
    <row r="755" spans="1:6" x14ac:dyDescent="0.55000000000000004">
      <c r="A755">
        <v>29750</v>
      </c>
      <c r="B755" t="s">
        <v>757</v>
      </c>
      <c r="C755" t="s">
        <v>758</v>
      </c>
      <c r="D755" t="s">
        <v>1120</v>
      </c>
      <c r="E755" t="s">
        <v>916</v>
      </c>
      <c r="F755" t="s">
        <v>1112</v>
      </c>
    </row>
    <row r="756" spans="1:6" x14ac:dyDescent="0.55000000000000004">
      <c r="A756">
        <v>29755</v>
      </c>
      <c r="B756" t="s">
        <v>651</v>
      </c>
      <c r="C756" t="s">
        <v>652</v>
      </c>
      <c r="D756" t="s">
        <v>1125</v>
      </c>
      <c r="E756" t="s">
        <v>916</v>
      </c>
      <c r="F756" t="s">
        <v>1112</v>
      </c>
    </row>
    <row r="757" spans="1:6" x14ac:dyDescent="0.55000000000000004">
      <c r="A757">
        <v>29761</v>
      </c>
      <c r="B757" t="s">
        <v>629</v>
      </c>
      <c r="C757" t="s">
        <v>630</v>
      </c>
      <c r="D757" t="s">
        <v>1125</v>
      </c>
      <c r="E757" t="s">
        <v>916</v>
      </c>
      <c r="F757" t="s">
        <v>1112</v>
      </c>
    </row>
    <row r="758" spans="1:6" x14ac:dyDescent="0.55000000000000004">
      <c r="A758">
        <v>29766</v>
      </c>
      <c r="B758" t="s">
        <v>605</v>
      </c>
      <c r="C758" t="s">
        <v>606</v>
      </c>
      <c r="D758" t="s">
        <v>1113</v>
      </c>
      <c r="E758" t="s">
        <v>1114</v>
      </c>
      <c r="F758" t="s">
        <v>1112</v>
      </c>
    </row>
    <row r="759" spans="1:6" x14ac:dyDescent="0.55000000000000004">
      <c r="A759">
        <v>29770</v>
      </c>
      <c r="B759" t="s">
        <v>27</v>
      </c>
      <c r="C759" t="s">
        <v>28</v>
      </c>
      <c r="D759" t="s">
        <v>1128</v>
      </c>
      <c r="E759" t="s">
        <v>1114</v>
      </c>
      <c r="F759" t="s">
        <v>1112</v>
      </c>
    </row>
    <row r="760" spans="1:6" x14ac:dyDescent="0.55000000000000004">
      <c r="A760">
        <v>29776</v>
      </c>
      <c r="B760" t="s">
        <v>57</v>
      </c>
      <c r="C760" t="s">
        <v>58</v>
      </c>
      <c r="D760" t="s">
        <v>1143</v>
      </c>
      <c r="E760" t="s">
        <v>1122</v>
      </c>
      <c r="F760" t="s">
        <v>1123</v>
      </c>
    </row>
    <row r="761" spans="1:6" x14ac:dyDescent="0.55000000000000004">
      <c r="A761">
        <v>29778</v>
      </c>
      <c r="B761" t="s">
        <v>371</v>
      </c>
      <c r="C761" t="s">
        <v>372</v>
      </c>
      <c r="D761" t="s">
        <v>1144</v>
      </c>
      <c r="E761" t="s">
        <v>1122</v>
      </c>
      <c r="F761" t="s">
        <v>1123</v>
      </c>
    </row>
    <row r="762" spans="1:6" x14ac:dyDescent="0.55000000000000004">
      <c r="A762">
        <v>29780</v>
      </c>
      <c r="B762" t="s">
        <v>365</v>
      </c>
      <c r="C762" t="s">
        <v>366</v>
      </c>
      <c r="D762" t="s">
        <v>1145</v>
      </c>
      <c r="E762" t="s">
        <v>916</v>
      </c>
      <c r="F762" t="s">
        <v>1112</v>
      </c>
    </row>
    <row r="763" spans="1:6" x14ac:dyDescent="0.55000000000000004">
      <c r="A763">
        <v>29785</v>
      </c>
      <c r="B763" t="s">
        <v>689</v>
      </c>
      <c r="C763" t="s">
        <v>690</v>
      </c>
      <c r="D763" t="s">
        <v>1146</v>
      </c>
      <c r="E763" t="s">
        <v>916</v>
      </c>
      <c r="F763" t="s">
        <v>1112</v>
      </c>
    </row>
    <row r="764" spans="1:6" x14ac:dyDescent="0.55000000000000004">
      <c r="A764">
        <v>29789</v>
      </c>
      <c r="B764" t="s">
        <v>443</v>
      </c>
      <c r="C764" t="s">
        <v>444</v>
      </c>
      <c r="D764" t="s">
        <v>1115</v>
      </c>
      <c r="E764" t="s">
        <v>1116</v>
      </c>
      <c r="F764" t="s">
        <v>1112</v>
      </c>
    </row>
    <row r="765" spans="1:6" x14ac:dyDescent="0.55000000000000004">
      <c r="A765">
        <v>29794</v>
      </c>
      <c r="B765" t="s">
        <v>183</v>
      </c>
      <c r="C765" t="s">
        <v>184</v>
      </c>
      <c r="D765" t="s">
        <v>1118</v>
      </c>
      <c r="E765" t="s">
        <v>1119</v>
      </c>
      <c r="F765" t="s">
        <v>1112</v>
      </c>
    </row>
    <row r="766" spans="1:6" x14ac:dyDescent="0.55000000000000004">
      <c r="A766">
        <v>29796</v>
      </c>
      <c r="B766" t="s">
        <v>189</v>
      </c>
      <c r="C766" t="s">
        <v>190</v>
      </c>
      <c r="D766" t="s">
        <v>1147</v>
      </c>
      <c r="E766" t="s">
        <v>1122</v>
      </c>
      <c r="F766" t="s">
        <v>1123</v>
      </c>
    </row>
    <row r="767" spans="1:6" x14ac:dyDescent="0.55000000000000004">
      <c r="A767">
        <v>29797</v>
      </c>
      <c r="B767" t="s">
        <v>97</v>
      </c>
      <c r="C767" t="s">
        <v>98</v>
      </c>
      <c r="D767" t="s">
        <v>1148</v>
      </c>
      <c r="E767" t="s">
        <v>916</v>
      </c>
      <c r="F767" t="s">
        <v>1112</v>
      </c>
    </row>
    <row r="768" spans="1:6" x14ac:dyDescent="0.55000000000000004">
      <c r="A768">
        <v>29803</v>
      </c>
      <c r="B768" t="s">
        <v>75</v>
      </c>
      <c r="C768" t="s">
        <v>76</v>
      </c>
      <c r="D768" t="s">
        <v>1111</v>
      </c>
      <c r="E768" t="s">
        <v>916</v>
      </c>
      <c r="F768" t="s">
        <v>1112</v>
      </c>
    </row>
    <row r="769" spans="1:6" x14ac:dyDescent="0.55000000000000004">
      <c r="A769">
        <v>29807</v>
      </c>
      <c r="B769" t="s">
        <v>53</v>
      </c>
      <c r="C769" t="s">
        <v>54</v>
      </c>
      <c r="D769" t="s">
        <v>1149</v>
      </c>
      <c r="E769" t="s">
        <v>916</v>
      </c>
      <c r="F769" t="s">
        <v>1112</v>
      </c>
    </row>
    <row r="770" spans="1:6" x14ac:dyDescent="0.55000000000000004">
      <c r="A770">
        <v>29813</v>
      </c>
      <c r="B770" t="s">
        <v>29</v>
      </c>
      <c r="C770" t="s">
        <v>30</v>
      </c>
      <c r="D770" t="s">
        <v>1111</v>
      </c>
      <c r="E770" t="s">
        <v>916</v>
      </c>
      <c r="F770" t="s">
        <v>1112</v>
      </c>
    </row>
    <row r="771" spans="1:6" x14ac:dyDescent="0.55000000000000004">
      <c r="A771">
        <v>29822</v>
      </c>
      <c r="B771" t="s">
        <v>873</v>
      </c>
      <c r="C771" t="s">
        <v>874</v>
      </c>
      <c r="D771" t="s">
        <v>1115</v>
      </c>
      <c r="E771" t="s">
        <v>1116</v>
      </c>
      <c r="F771" t="s">
        <v>1112</v>
      </c>
    </row>
    <row r="772" spans="1:6" x14ac:dyDescent="0.55000000000000004">
      <c r="A772">
        <v>29824</v>
      </c>
      <c r="B772" t="s">
        <v>869</v>
      </c>
      <c r="C772" t="s">
        <v>870</v>
      </c>
      <c r="D772" t="s">
        <v>1115</v>
      </c>
      <c r="E772" t="s">
        <v>1116</v>
      </c>
      <c r="F772" t="s">
        <v>1112</v>
      </c>
    </row>
    <row r="773" spans="1:6" x14ac:dyDescent="0.55000000000000004">
      <c r="A773">
        <v>29830</v>
      </c>
      <c r="B773" t="s">
        <v>847</v>
      </c>
      <c r="C773" t="s">
        <v>848</v>
      </c>
      <c r="D773" t="s">
        <v>1118</v>
      </c>
      <c r="E773" t="s">
        <v>1119</v>
      </c>
      <c r="F773" t="s">
        <v>1112</v>
      </c>
    </row>
    <row r="774" spans="1:6" x14ac:dyDescent="0.55000000000000004">
      <c r="A774">
        <v>29831</v>
      </c>
      <c r="B774" t="s">
        <v>841</v>
      </c>
      <c r="C774" t="s">
        <v>842</v>
      </c>
      <c r="D774" t="s">
        <v>1150</v>
      </c>
      <c r="E774" t="s">
        <v>1116</v>
      </c>
      <c r="F774" t="s">
        <v>1112</v>
      </c>
    </row>
    <row r="775" spans="1:6" x14ac:dyDescent="0.55000000000000004">
      <c r="A775">
        <v>29832</v>
      </c>
      <c r="B775" t="s">
        <v>839</v>
      </c>
      <c r="C775" t="s">
        <v>840</v>
      </c>
      <c r="D775" t="s">
        <v>1151</v>
      </c>
      <c r="E775" t="s">
        <v>916</v>
      </c>
      <c r="F775" t="s">
        <v>1112</v>
      </c>
    </row>
    <row r="776" spans="1:6" x14ac:dyDescent="0.55000000000000004">
      <c r="A776">
        <v>29840</v>
      </c>
      <c r="B776" t="s">
        <v>811</v>
      </c>
      <c r="C776" t="s">
        <v>812</v>
      </c>
      <c r="D776" t="s">
        <v>1111</v>
      </c>
      <c r="E776" t="s">
        <v>916</v>
      </c>
      <c r="F776" t="s">
        <v>1112</v>
      </c>
    </row>
    <row r="777" spans="1:6" x14ac:dyDescent="0.55000000000000004">
      <c r="A777">
        <v>29851</v>
      </c>
      <c r="B777" t="s">
        <v>539</v>
      </c>
      <c r="C777" t="s">
        <v>540</v>
      </c>
      <c r="D777" t="s">
        <v>1152</v>
      </c>
      <c r="E777" t="s">
        <v>1122</v>
      </c>
      <c r="F777" t="s">
        <v>1123</v>
      </c>
    </row>
    <row r="778" spans="1:6" x14ac:dyDescent="0.55000000000000004">
      <c r="A778">
        <v>29852</v>
      </c>
      <c r="B778" t="s">
        <v>533</v>
      </c>
      <c r="C778" t="s">
        <v>534</v>
      </c>
      <c r="D778" t="s">
        <v>1153</v>
      </c>
      <c r="E778" t="s">
        <v>1116</v>
      </c>
      <c r="F778" t="s">
        <v>1112</v>
      </c>
    </row>
    <row r="779" spans="1:6" x14ac:dyDescent="0.55000000000000004">
      <c r="A779">
        <v>29855</v>
      </c>
      <c r="B779" t="s">
        <v>733</v>
      </c>
      <c r="C779" t="s">
        <v>734</v>
      </c>
      <c r="D779" t="s">
        <v>1111</v>
      </c>
      <c r="E779" t="s">
        <v>916</v>
      </c>
      <c r="F779" t="s">
        <v>1112</v>
      </c>
    </row>
    <row r="780" spans="1:6" x14ac:dyDescent="0.55000000000000004">
      <c r="A780">
        <v>29857</v>
      </c>
      <c r="B780" t="s">
        <v>739</v>
      </c>
      <c r="C780" t="s">
        <v>740</v>
      </c>
      <c r="D780" t="s">
        <v>1121</v>
      </c>
      <c r="E780" t="s">
        <v>1122</v>
      </c>
      <c r="F780" t="s">
        <v>1123</v>
      </c>
    </row>
    <row r="781" spans="1:6" x14ac:dyDescent="0.55000000000000004">
      <c r="A781">
        <v>29860</v>
      </c>
      <c r="B781" t="s">
        <v>793</v>
      </c>
      <c r="C781" t="s">
        <v>794</v>
      </c>
      <c r="D781" t="s">
        <v>1154</v>
      </c>
      <c r="E781" t="s">
        <v>1122</v>
      </c>
      <c r="F781" t="s">
        <v>1123</v>
      </c>
    </row>
    <row r="782" spans="1:6" x14ac:dyDescent="0.55000000000000004">
      <c r="A782">
        <v>29863</v>
      </c>
      <c r="B782" t="s">
        <v>809</v>
      </c>
      <c r="C782" t="s">
        <v>810</v>
      </c>
      <c r="D782" t="s">
        <v>1118</v>
      </c>
      <c r="E782" t="s">
        <v>1119</v>
      </c>
      <c r="F782" t="s">
        <v>1112</v>
      </c>
    </row>
    <row r="783" spans="1:6" x14ac:dyDescent="0.55000000000000004">
      <c r="A783">
        <v>29864</v>
      </c>
      <c r="B783" t="s">
        <v>343</v>
      </c>
      <c r="C783" t="s">
        <v>344</v>
      </c>
      <c r="D783" t="s">
        <v>1118</v>
      </c>
      <c r="E783" t="s">
        <v>1119</v>
      </c>
      <c r="F783" t="s">
        <v>1112</v>
      </c>
    </row>
    <row r="784" spans="1:6" x14ac:dyDescent="0.55000000000000004">
      <c r="A784">
        <v>29868</v>
      </c>
      <c r="B784" t="s">
        <v>327</v>
      </c>
      <c r="C784" t="s">
        <v>328</v>
      </c>
      <c r="D784" t="s">
        <v>1121</v>
      </c>
      <c r="E784" t="s">
        <v>1122</v>
      </c>
      <c r="F784" t="s">
        <v>1123</v>
      </c>
    </row>
    <row r="785" spans="1:6" x14ac:dyDescent="0.55000000000000004">
      <c r="A785">
        <v>29870</v>
      </c>
      <c r="B785" t="s">
        <v>321</v>
      </c>
      <c r="C785" t="s">
        <v>322</v>
      </c>
      <c r="D785" t="s">
        <v>1115</v>
      </c>
      <c r="E785" t="s">
        <v>1116</v>
      </c>
      <c r="F785" t="s">
        <v>1112</v>
      </c>
    </row>
    <row r="786" spans="1:6" x14ac:dyDescent="0.55000000000000004">
      <c r="A786">
        <v>29874</v>
      </c>
      <c r="B786" t="s">
        <v>305</v>
      </c>
      <c r="C786" t="s">
        <v>306</v>
      </c>
      <c r="D786" t="s">
        <v>1155</v>
      </c>
      <c r="E786" t="s">
        <v>1122</v>
      </c>
      <c r="F786" t="s">
        <v>1123</v>
      </c>
    </row>
    <row r="787" spans="1:6" x14ac:dyDescent="0.55000000000000004">
      <c r="A787">
        <v>29876</v>
      </c>
      <c r="B787" t="s">
        <v>299</v>
      </c>
      <c r="C787" t="s">
        <v>300</v>
      </c>
      <c r="D787" t="s">
        <v>1156</v>
      </c>
      <c r="E787" t="s">
        <v>1116</v>
      </c>
      <c r="F787" t="s">
        <v>1112</v>
      </c>
    </row>
    <row r="788" spans="1:6" x14ac:dyDescent="0.55000000000000004">
      <c r="A788">
        <v>29879</v>
      </c>
      <c r="B788" t="s">
        <v>557</v>
      </c>
      <c r="C788" t="s">
        <v>558</v>
      </c>
      <c r="D788" t="s">
        <v>1138</v>
      </c>
      <c r="E788" t="s">
        <v>916</v>
      </c>
      <c r="F788" t="s">
        <v>1112</v>
      </c>
    </row>
    <row r="789" spans="1:6" x14ac:dyDescent="0.55000000000000004">
      <c r="A789">
        <v>29881</v>
      </c>
      <c r="B789" t="s">
        <v>303</v>
      </c>
      <c r="C789" t="s">
        <v>304</v>
      </c>
      <c r="D789" t="s">
        <v>1120</v>
      </c>
      <c r="E789" t="s">
        <v>916</v>
      </c>
      <c r="F789" t="s">
        <v>1112</v>
      </c>
    </row>
    <row r="790" spans="1:6" x14ac:dyDescent="0.55000000000000004">
      <c r="A790">
        <v>29892</v>
      </c>
      <c r="B790" t="s">
        <v>253</v>
      </c>
      <c r="C790" t="s">
        <v>254</v>
      </c>
      <c r="D790" t="s">
        <v>1111</v>
      </c>
      <c r="E790" t="s">
        <v>916</v>
      </c>
      <c r="F790" t="s">
        <v>1112</v>
      </c>
    </row>
    <row r="791" spans="1:6" x14ac:dyDescent="0.55000000000000004">
      <c r="A791">
        <v>29895</v>
      </c>
      <c r="B791" t="s">
        <v>627</v>
      </c>
      <c r="C791" t="s">
        <v>628</v>
      </c>
      <c r="D791" t="s">
        <v>1157</v>
      </c>
      <c r="E791" t="s">
        <v>1116</v>
      </c>
      <c r="F791" t="s">
        <v>1112</v>
      </c>
    </row>
    <row r="792" spans="1:6" x14ac:dyDescent="0.55000000000000004">
      <c r="A792">
        <v>29900</v>
      </c>
      <c r="B792" t="s">
        <v>509</v>
      </c>
      <c r="C792" t="s">
        <v>510</v>
      </c>
      <c r="D792" t="s">
        <v>1133</v>
      </c>
      <c r="E792" t="s">
        <v>1114</v>
      </c>
      <c r="F792" t="s">
        <v>1112</v>
      </c>
    </row>
    <row r="793" spans="1:6" x14ac:dyDescent="0.55000000000000004">
      <c r="A793">
        <v>29904</v>
      </c>
      <c r="B793" t="s">
        <v>491</v>
      </c>
      <c r="C793" t="s">
        <v>492</v>
      </c>
      <c r="D793" t="s">
        <v>1158</v>
      </c>
      <c r="E793" t="s">
        <v>1122</v>
      </c>
      <c r="F793" t="s">
        <v>1123</v>
      </c>
    </row>
    <row r="794" spans="1:6" x14ac:dyDescent="0.55000000000000004">
      <c r="A794">
        <v>29905</v>
      </c>
      <c r="B794" t="s">
        <v>485</v>
      </c>
      <c r="C794" t="s">
        <v>486</v>
      </c>
      <c r="D794" t="s">
        <v>1118</v>
      </c>
      <c r="E794" t="s">
        <v>1119</v>
      </c>
      <c r="F794" t="s">
        <v>1112</v>
      </c>
    </row>
    <row r="795" spans="1:6" x14ac:dyDescent="0.55000000000000004">
      <c r="A795">
        <v>29908</v>
      </c>
      <c r="B795" t="s">
        <v>467</v>
      </c>
      <c r="C795" t="s">
        <v>468</v>
      </c>
      <c r="D795" t="s">
        <v>1159</v>
      </c>
      <c r="E795" t="s">
        <v>1122</v>
      </c>
      <c r="F795" t="s">
        <v>1123</v>
      </c>
    </row>
    <row r="796" spans="1:6" x14ac:dyDescent="0.55000000000000004">
      <c r="A796">
        <v>29910</v>
      </c>
      <c r="B796" t="s">
        <v>461</v>
      </c>
      <c r="C796" t="s">
        <v>462</v>
      </c>
      <c r="D796" t="s">
        <v>1160</v>
      </c>
      <c r="E796" t="s">
        <v>1119</v>
      </c>
      <c r="F796" t="s">
        <v>1112</v>
      </c>
    </row>
    <row r="797" spans="1:6" x14ac:dyDescent="0.55000000000000004">
      <c r="A797">
        <v>29911</v>
      </c>
      <c r="B797" t="s">
        <v>715</v>
      </c>
      <c r="C797" t="s">
        <v>716</v>
      </c>
      <c r="D797" t="s">
        <v>1111</v>
      </c>
      <c r="E797" t="s">
        <v>916</v>
      </c>
      <c r="F797" t="s">
        <v>1112</v>
      </c>
    </row>
    <row r="798" spans="1:6" x14ac:dyDescent="0.55000000000000004">
      <c r="A798">
        <v>29918</v>
      </c>
      <c r="B798" t="s">
        <v>139</v>
      </c>
      <c r="C798" t="s">
        <v>140</v>
      </c>
      <c r="D798" t="s">
        <v>1161</v>
      </c>
      <c r="E798" t="s">
        <v>916</v>
      </c>
      <c r="F798" t="s">
        <v>1112</v>
      </c>
    </row>
    <row r="799" spans="1:6" x14ac:dyDescent="0.55000000000000004">
      <c r="A799">
        <v>29922</v>
      </c>
      <c r="B799" t="s">
        <v>123</v>
      </c>
      <c r="C799" t="s">
        <v>124</v>
      </c>
      <c r="D799" t="s">
        <v>1162</v>
      </c>
      <c r="E799" t="s">
        <v>1122</v>
      </c>
      <c r="F799" t="s">
        <v>1123</v>
      </c>
    </row>
    <row r="800" spans="1:6" x14ac:dyDescent="0.55000000000000004">
      <c r="A800">
        <v>29926</v>
      </c>
      <c r="B800" t="s">
        <v>101</v>
      </c>
      <c r="C800" t="s">
        <v>102</v>
      </c>
      <c r="D800" t="s">
        <v>1121</v>
      </c>
      <c r="E800" t="s">
        <v>1122</v>
      </c>
      <c r="F800" t="s">
        <v>1123</v>
      </c>
    </row>
    <row r="801" spans="1:6" x14ac:dyDescent="0.55000000000000004">
      <c r="A801">
        <v>29928</v>
      </c>
      <c r="B801" t="s">
        <v>95</v>
      </c>
      <c r="C801" t="s">
        <v>96</v>
      </c>
      <c r="D801" t="s">
        <v>1111</v>
      </c>
      <c r="E801" t="s">
        <v>916</v>
      </c>
      <c r="F801" t="s">
        <v>1112</v>
      </c>
    </row>
    <row r="802" spans="1:6" x14ac:dyDescent="0.55000000000000004">
      <c r="A802">
        <v>29932</v>
      </c>
      <c r="B802" t="s">
        <v>79</v>
      </c>
      <c r="C802" t="s">
        <v>80</v>
      </c>
      <c r="D802" t="s">
        <v>1163</v>
      </c>
      <c r="E802" t="s">
        <v>1122</v>
      </c>
      <c r="F802" t="s">
        <v>1123</v>
      </c>
    </row>
    <row r="803" spans="1:6" x14ac:dyDescent="0.55000000000000004">
      <c r="A803">
        <v>29934</v>
      </c>
      <c r="B803" t="s">
        <v>73</v>
      </c>
      <c r="C803" t="s">
        <v>74</v>
      </c>
      <c r="D803" t="s">
        <v>1118</v>
      </c>
      <c r="E803" t="s">
        <v>1119</v>
      </c>
      <c r="F803" t="s">
        <v>1112</v>
      </c>
    </row>
    <row r="804" spans="1:6" x14ac:dyDescent="0.55000000000000004">
      <c r="A804">
        <v>29939</v>
      </c>
      <c r="B804" t="s">
        <v>251</v>
      </c>
      <c r="C804" t="s">
        <v>252</v>
      </c>
      <c r="D804" t="s">
        <v>1118</v>
      </c>
      <c r="E804" t="s">
        <v>1119</v>
      </c>
      <c r="F804" t="s">
        <v>1112</v>
      </c>
    </row>
    <row r="805" spans="1:6" x14ac:dyDescent="0.55000000000000004">
      <c r="A805">
        <v>29941</v>
      </c>
      <c r="B805" t="s">
        <v>257</v>
      </c>
      <c r="C805" t="s">
        <v>258</v>
      </c>
      <c r="D805" t="s">
        <v>1162</v>
      </c>
      <c r="E805" t="s">
        <v>1122</v>
      </c>
      <c r="F805" t="s">
        <v>1123</v>
      </c>
    </row>
    <row r="806" spans="1:6" x14ac:dyDescent="0.55000000000000004">
      <c r="A806">
        <v>29946</v>
      </c>
      <c r="B806" t="s">
        <v>143</v>
      </c>
      <c r="C806" t="s">
        <v>144</v>
      </c>
      <c r="D806" t="s">
        <v>1111</v>
      </c>
      <c r="E806" t="s">
        <v>916</v>
      </c>
      <c r="F806" t="s">
        <v>1112</v>
      </c>
    </row>
    <row r="807" spans="1:6" x14ac:dyDescent="0.55000000000000004">
      <c r="A807">
        <v>29950</v>
      </c>
      <c r="B807" t="s">
        <v>161</v>
      </c>
      <c r="C807" t="s">
        <v>162</v>
      </c>
      <c r="D807" t="s">
        <v>1111</v>
      </c>
      <c r="E807" t="s">
        <v>916</v>
      </c>
      <c r="F807" t="s">
        <v>1112</v>
      </c>
    </row>
    <row r="808" spans="1:6" x14ac:dyDescent="0.55000000000000004">
      <c r="A808">
        <v>29952</v>
      </c>
      <c r="B808" t="s">
        <v>167</v>
      </c>
      <c r="C808" t="s">
        <v>168</v>
      </c>
      <c r="D808" t="s">
        <v>1139</v>
      </c>
      <c r="E808" t="s">
        <v>1122</v>
      </c>
      <c r="F808" t="s">
        <v>1123</v>
      </c>
    </row>
    <row r="809" spans="1:6" x14ac:dyDescent="0.55000000000000004">
      <c r="A809">
        <v>29959</v>
      </c>
      <c r="B809" t="s">
        <v>55</v>
      </c>
      <c r="C809" t="s">
        <v>56</v>
      </c>
      <c r="D809" t="s">
        <v>1116</v>
      </c>
      <c r="E809" t="s">
        <v>1116</v>
      </c>
      <c r="F809" t="s">
        <v>1112</v>
      </c>
    </row>
    <row r="810" spans="1:6" x14ac:dyDescent="0.55000000000000004">
      <c r="A810">
        <v>29964</v>
      </c>
      <c r="B810" t="s">
        <v>77</v>
      </c>
      <c r="C810" t="s">
        <v>78</v>
      </c>
      <c r="D810" t="s">
        <v>1115</v>
      </c>
      <c r="E810" t="s">
        <v>1116</v>
      </c>
      <c r="F810" t="s">
        <v>1112</v>
      </c>
    </row>
    <row r="811" spans="1:6" x14ac:dyDescent="0.55000000000000004">
      <c r="A811">
        <v>29969</v>
      </c>
      <c r="B811" t="s">
        <v>813</v>
      </c>
      <c r="C811" t="s">
        <v>814</v>
      </c>
      <c r="D811" t="s">
        <v>1111</v>
      </c>
      <c r="E811" t="s">
        <v>916</v>
      </c>
      <c r="F811" t="s">
        <v>1112</v>
      </c>
    </row>
    <row r="812" spans="1:6" x14ac:dyDescent="0.55000000000000004">
      <c r="A812">
        <v>29971</v>
      </c>
      <c r="B812" t="s">
        <v>817</v>
      </c>
      <c r="C812" t="s">
        <v>818</v>
      </c>
      <c r="D812" t="s">
        <v>1111</v>
      </c>
      <c r="E812" t="s">
        <v>916</v>
      </c>
      <c r="F812" t="s">
        <v>1112</v>
      </c>
    </row>
    <row r="813" spans="1:6" x14ac:dyDescent="0.55000000000000004">
      <c r="A813">
        <v>29978</v>
      </c>
      <c r="B813" t="s">
        <v>843</v>
      </c>
      <c r="C813" t="s">
        <v>844</v>
      </c>
      <c r="D813" t="s">
        <v>1121</v>
      </c>
      <c r="E813" t="s">
        <v>1122</v>
      </c>
      <c r="F813" t="s">
        <v>1123</v>
      </c>
    </row>
    <row r="814" spans="1:6" x14ac:dyDescent="0.55000000000000004">
      <c r="A814">
        <v>29980</v>
      </c>
      <c r="B814" t="s">
        <v>849</v>
      </c>
      <c r="C814" t="s">
        <v>850</v>
      </c>
      <c r="D814" t="s">
        <v>1121</v>
      </c>
      <c r="E814" t="s">
        <v>1122</v>
      </c>
      <c r="F814" t="s">
        <v>1123</v>
      </c>
    </row>
    <row r="815" spans="1:6" x14ac:dyDescent="0.55000000000000004">
      <c r="A815">
        <v>29983</v>
      </c>
      <c r="B815" t="s">
        <v>865</v>
      </c>
      <c r="C815" t="s">
        <v>866</v>
      </c>
      <c r="D815" t="s">
        <v>1120</v>
      </c>
      <c r="E815" t="s">
        <v>916</v>
      </c>
      <c r="F815" t="s">
        <v>1112</v>
      </c>
    </row>
    <row r="816" spans="1:6" x14ac:dyDescent="0.55000000000000004">
      <c r="A816">
        <v>29985</v>
      </c>
      <c r="B816" t="s">
        <v>871</v>
      </c>
      <c r="C816" t="s">
        <v>872</v>
      </c>
      <c r="D816" t="s">
        <v>1121</v>
      </c>
      <c r="E816" t="s">
        <v>1122</v>
      </c>
      <c r="F816" t="s">
        <v>1123</v>
      </c>
    </row>
    <row r="817" spans="1:6" x14ac:dyDescent="0.55000000000000004">
      <c r="A817">
        <v>29988</v>
      </c>
      <c r="B817" t="s">
        <v>277</v>
      </c>
      <c r="C817" t="s">
        <v>278</v>
      </c>
      <c r="D817" t="s">
        <v>1111</v>
      </c>
      <c r="E817" t="s">
        <v>916</v>
      </c>
      <c r="F817" t="s">
        <v>1112</v>
      </c>
    </row>
    <row r="818" spans="1:6" x14ac:dyDescent="0.55000000000000004">
      <c r="A818">
        <v>29990</v>
      </c>
      <c r="B818" t="s">
        <v>283</v>
      </c>
      <c r="C818" t="s">
        <v>284</v>
      </c>
      <c r="D818" t="s">
        <v>1164</v>
      </c>
      <c r="E818" t="s">
        <v>1122</v>
      </c>
      <c r="F818" t="s">
        <v>1123</v>
      </c>
    </row>
    <row r="819" spans="1:6" x14ac:dyDescent="0.55000000000000004">
      <c r="A819">
        <v>29994</v>
      </c>
      <c r="B819" t="s">
        <v>301</v>
      </c>
      <c r="C819" t="s">
        <v>302</v>
      </c>
      <c r="D819" t="s">
        <v>1111</v>
      </c>
      <c r="E819" t="s">
        <v>916</v>
      </c>
      <c r="F819" t="s">
        <v>1112</v>
      </c>
    </row>
    <row r="820" spans="1:6" x14ac:dyDescent="0.55000000000000004">
      <c r="A820">
        <v>30000</v>
      </c>
      <c r="B820" t="s">
        <v>323</v>
      </c>
      <c r="C820" t="s">
        <v>324</v>
      </c>
      <c r="D820" t="s">
        <v>1141</v>
      </c>
      <c r="E820" t="s">
        <v>1116</v>
      </c>
      <c r="F820" t="s">
        <v>1112</v>
      </c>
    </row>
    <row r="821" spans="1:6" x14ac:dyDescent="0.55000000000000004">
      <c r="A821">
        <v>30005</v>
      </c>
      <c r="B821" t="s">
        <v>717</v>
      </c>
      <c r="C821" t="s">
        <v>718</v>
      </c>
      <c r="D821" t="s">
        <v>1121</v>
      </c>
      <c r="E821" t="s">
        <v>1122</v>
      </c>
      <c r="F821" t="s">
        <v>1123</v>
      </c>
    </row>
    <row r="822" spans="1:6" x14ac:dyDescent="0.55000000000000004">
      <c r="A822">
        <v>30007</v>
      </c>
      <c r="B822" t="s">
        <v>711</v>
      </c>
      <c r="C822" t="s">
        <v>712</v>
      </c>
      <c r="D822" t="s">
        <v>1116</v>
      </c>
      <c r="E822" t="s">
        <v>1116</v>
      </c>
      <c r="F822" t="s">
        <v>1112</v>
      </c>
    </row>
    <row r="823" spans="1:6" x14ac:dyDescent="0.55000000000000004">
      <c r="A823">
        <v>30010</v>
      </c>
      <c r="B823" t="s">
        <v>693</v>
      </c>
      <c r="C823" t="s">
        <v>694</v>
      </c>
      <c r="D823" t="s">
        <v>1125</v>
      </c>
      <c r="E823" t="s">
        <v>916</v>
      </c>
      <c r="F823" t="s">
        <v>1112</v>
      </c>
    </row>
    <row r="824" spans="1:6" x14ac:dyDescent="0.55000000000000004">
      <c r="A824">
        <v>30016</v>
      </c>
      <c r="B824" t="s">
        <v>675</v>
      </c>
      <c r="C824" t="s">
        <v>676</v>
      </c>
      <c r="D824" t="s">
        <v>1165</v>
      </c>
      <c r="E824" t="s">
        <v>916</v>
      </c>
      <c r="F824" t="s">
        <v>1112</v>
      </c>
    </row>
    <row r="825" spans="1:6" x14ac:dyDescent="0.55000000000000004">
      <c r="A825">
        <v>30019</v>
      </c>
      <c r="B825" t="s">
        <v>421</v>
      </c>
      <c r="C825" t="s">
        <v>422</v>
      </c>
      <c r="D825" t="s">
        <v>1162</v>
      </c>
      <c r="E825" t="s">
        <v>1122</v>
      </c>
      <c r="F825" t="s">
        <v>1123</v>
      </c>
    </row>
    <row r="826" spans="1:6" x14ac:dyDescent="0.55000000000000004">
      <c r="A826">
        <v>30021</v>
      </c>
      <c r="B826" t="s">
        <v>415</v>
      </c>
      <c r="C826" t="s">
        <v>416</v>
      </c>
      <c r="D826" t="s">
        <v>1125</v>
      </c>
      <c r="E826" t="s">
        <v>916</v>
      </c>
      <c r="F826" t="s">
        <v>1112</v>
      </c>
    </row>
    <row r="827" spans="1:6" x14ac:dyDescent="0.55000000000000004">
      <c r="A827">
        <v>30025</v>
      </c>
      <c r="B827" t="s">
        <v>397</v>
      </c>
      <c r="C827" t="s">
        <v>398</v>
      </c>
      <c r="D827" t="s">
        <v>1166</v>
      </c>
      <c r="E827" t="s">
        <v>1122</v>
      </c>
      <c r="F827" t="s">
        <v>1123</v>
      </c>
    </row>
    <row r="828" spans="1:6" x14ac:dyDescent="0.55000000000000004">
      <c r="A828">
        <v>30029</v>
      </c>
      <c r="B828" t="s">
        <v>755</v>
      </c>
      <c r="C828" t="s">
        <v>756</v>
      </c>
      <c r="D828" t="s">
        <v>1115</v>
      </c>
      <c r="E828" t="s">
        <v>1116</v>
      </c>
      <c r="F828" t="s">
        <v>1112</v>
      </c>
    </row>
    <row r="829" spans="1:6" x14ac:dyDescent="0.55000000000000004">
      <c r="A829">
        <v>30030</v>
      </c>
      <c r="B829" t="s">
        <v>761</v>
      </c>
      <c r="C829" t="s">
        <v>762</v>
      </c>
      <c r="D829" t="s">
        <v>1121</v>
      </c>
      <c r="E829" t="s">
        <v>1122</v>
      </c>
      <c r="F829" t="s">
        <v>1123</v>
      </c>
    </row>
    <row r="830" spans="1:6" x14ac:dyDescent="0.55000000000000004">
      <c r="A830">
        <v>30037</v>
      </c>
      <c r="B830" t="s">
        <v>791</v>
      </c>
      <c r="C830" t="s">
        <v>792</v>
      </c>
      <c r="D830" t="s">
        <v>1133</v>
      </c>
      <c r="E830" t="s">
        <v>916</v>
      </c>
      <c r="F830" t="s">
        <v>1112</v>
      </c>
    </row>
    <row r="831" spans="1:6" x14ac:dyDescent="0.55000000000000004">
      <c r="A831">
        <v>30042</v>
      </c>
      <c r="B831" t="s">
        <v>625</v>
      </c>
      <c r="C831" t="s">
        <v>626</v>
      </c>
      <c r="D831" t="s">
        <v>1113</v>
      </c>
      <c r="E831" t="s">
        <v>1114</v>
      </c>
      <c r="F831" t="s">
        <v>1112</v>
      </c>
    </row>
    <row r="832" spans="1:6" x14ac:dyDescent="0.55000000000000004">
      <c r="A832">
        <v>30044</v>
      </c>
      <c r="B832" t="s">
        <v>631</v>
      </c>
      <c r="C832" t="s">
        <v>632</v>
      </c>
      <c r="D832" t="s">
        <v>1167</v>
      </c>
      <c r="E832" t="s">
        <v>1122</v>
      </c>
      <c r="F832" t="s">
        <v>1123</v>
      </c>
    </row>
    <row r="833" spans="1:6" x14ac:dyDescent="0.55000000000000004">
      <c r="A833">
        <v>30048</v>
      </c>
      <c r="B833" t="s">
        <v>647</v>
      </c>
      <c r="C833" t="s">
        <v>648</v>
      </c>
      <c r="D833" t="s">
        <v>1160</v>
      </c>
      <c r="E833" t="s">
        <v>1119</v>
      </c>
      <c r="F833" t="s">
        <v>1112</v>
      </c>
    </row>
    <row r="834" spans="1:6" x14ac:dyDescent="0.55000000000000004">
      <c r="A834">
        <v>30050</v>
      </c>
      <c r="B834" t="s">
        <v>653</v>
      </c>
      <c r="C834" t="s">
        <v>654</v>
      </c>
      <c r="D834" t="s">
        <v>1121</v>
      </c>
      <c r="E834" t="s">
        <v>1122</v>
      </c>
      <c r="F834" t="s">
        <v>1123</v>
      </c>
    </row>
    <row r="835" spans="1:6" x14ac:dyDescent="0.55000000000000004">
      <c r="A835">
        <v>30053</v>
      </c>
      <c r="B835" t="s">
        <v>489</v>
      </c>
      <c r="C835" t="s">
        <v>490</v>
      </c>
      <c r="D835" t="s">
        <v>1165</v>
      </c>
      <c r="E835" t="s">
        <v>916</v>
      </c>
      <c r="F835" t="s">
        <v>1112</v>
      </c>
    </row>
    <row r="836" spans="1:6" x14ac:dyDescent="0.55000000000000004">
      <c r="A836">
        <v>30058</v>
      </c>
      <c r="B836" t="s">
        <v>513</v>
      </c>
      <c r="C836" t="s">
        <v>514</v>
      </c>
      <c r="D836" t="s">
        <v>1168</v>
      </c>
      <c r="E836" t="s">
        <v>916</v>
      </c>
      <c r="F836" t="s">
        <v>1112</v>
      </c>
    </row>
    <row r="837" spans="1:6" x14ac:dyDescent="0.55000000000000004">
      <c r="A837">
        <v>30067</v>
      </c>
      <c r="B837" t="s">
        <v>163</v>
      </c>
      <c r="C837" t="s">
        <v>164</v>
      </c>
      <c r="D837" t="s">
        <v>1169</v>
      </c>
      <c r="E837" t="s">
        <v>1116</v>
      </c>
      <c r="F837" t="s">
        <v>1112</v>
      </c>
    </row>
    <row r="838" spans="1:6" x14ac:dyDescent="0.55000000000000004">
      <c r="A838">
        <v>30072</v>
      </c>
      <c r="B838" t="s">
        <v>145</v>
      </c>
      <c r="C838" t="s">
        <v>146</v>
      </c>
      <c r="D838" t="s">
        <v>1170</v>
      </c>
      <c r="E838" t="s">
        <v>1122</v>
      </c>
      <c r="F838" t="s">
        <v>1123</v>
      </c>
    </row>
    <row r="839" spans="1:6" x14ac:dyDescent="0.55000000000000004">
      <c r="A839">
        <v>30074</v>
      </c>
      <c r="B839" t="s">
        <v>691</v>
      </c>
      <c r="C839" t="s">
        <v>692</v>
      </c>
      <c r="D839" t="s">
        <v>1171</v>
      </c>
      <c r="E839" t="s">
        <v>1116</v>
      </c>
      <c r="F839" t="s">
        <v>1112</v>
      </c>
    </row>
    <row r="840" spans="1:6" x14ac:dyDescent="0.55000000000000004">
      <c r="A840">
        <v>30083</v>
      </c>
      <c r="B840" t="s">
        <v>603</v>
      </c>
      <c r="C840" t="s">
        <v>604</v>
      </c>
      <c r="D840" t="s">
        <v>1125</v>
      </c>
      <c r="E840" t="s">
        <v>916</v>
      </c>
      <c r="F840" t="s">
        <v>1112</v>
      </c>
    </row>
    <row r="841" spans="1:6" x14ac:dyDescent="0.55000000000000004">
      <c r="A841">
        <v>30087</v>
      </c>
      <c r="B841" t="s">
        <v>369</v>
      </c>
      <c r="C841" t="s">
        <v>370</v>
      </c>
      <c r="D841" t="s">
        <v>1172</v>
      </c>
      <c r="E841" t="s">
        <v>1116</v>
      </c>
      <c r="F841" t="s">
        <v>1112</v>
      </c>
    </row>
    <row r="842" spans="1:6" x14ac:dyDescent="0.55000000000000004">
      <c r="A842">
        <v>30093</v>
      </c>
      <c r="B842" t="s">
        <v>347</v>
      </c>
      <c r="C842" t="s">
        <v>348</v>
      </c>
      <c r="D842" t="s">
        <v>1111</v>
      </c>
      <c r="E842" t="s">
        <v>916</v>
      </c>
      <c r="F842" t="s">
        <v>1112</v>
      </c>
    </row>
    <row r="843" spans="1:6" x14ac:dyDescent="0.55000000000000004">
      <c r="A843">
        <v>30098</v>
      </c>
      <c r="B843" t="s">
        <v>325</v>
      </c>
      <c r="C843" t="s">
        <v>326</v>
      </c>
      <c r="D843" t="s">
        <v>1115</v>
      </c>
      <c r="E843" t="s">
        <v>1116</v>
      </c>
      <c r="F843" t="s">
        <v>1112</v>
      </c>
    </row>
    <row r="844" spans="1:6" x14ac:dyDescent="0.55000000000000004">
      <c r="A844">
        <v>30102</v>
      </c>
      <c r="B844" t="s">
        <v>815</v>
      </c>
      <c r="C844" t="s">
        <v>816</v>
      </c>
      <c r="D844" t="s">
        <v>1173</v>
      </c>
      <c r="E844" t="s">
        <v>1122</v>
      </c>
      <c r="F844" t="s">
        <v>1123</v>
      </c>
    </row>
    <row r="845" spans="1:6" x14ac:dyDescent="0.55000000000000004">
      <c r="A845">
        <v>30104</v>
      </c>
      <c r="B845" t="s">
        <v>819</v>
      </c>
      <c r="C845" t="s">
        <v>820</v>
      </c>
      <c r="D845" t="s">
        <v>1121</v>
      </c>
      <c r="E845" t="s">
        <v>1122</v>
      </c>
      <c r="F845" t="s">
        <v>1123</v>
      </c>
    </row>
    <row r="846" spans="1:6" x14ac:dyDescent="0.55000000000000004">
      <c r="A846">
        <v>30108</v>
      </c>
      <c r="B846" t="s">
        <v>837</v>
      </c>
      <c r="C846" t="s">
        <v>838</v>
      </c>
      <c r="D846" t="s">
        <v>1111</v>
      </c>
      <c r="E846" t="s">
        <v>916</v>
      </c>
      <c r="F846" t="s">
        <v>1112</v>
      </c>
    </row>
    <row r="847" spans="1:6" x14ac:dyDescent="0.55000000000000004">
      <c r="A847">
        <v>30113</v>
      </c>
      <c r="B847" t="s">
        <v>445</v>
      </c>
      <c r="C847" t="s">
        <v>446</v>
      </c>
      <c r="D847" t="s">
        <v>1174</v>
      </c>
      <c r="E847" t="s">
        <v>1122</v>
      </c>
      <c r="F847" t="s">
        <v>1123</v>
      </c>
    </row>
    <row r="848" spans="1:6" x14ac:dyDescent="0.55000000000000004">
      <c r="A848">
        <v>30115</v>
      </c>
      <c r="B848" t="s">
        <v>439</v>
      </c>
      <c r="C848" t="s">
        <v>440</v>
      </c>
      <c r="D848" t="s">
        <v>1168</v>
      </c>
      <c r="E848" t="s">
        <v>916</v>
      </c>
      <c r="F848" t="s">
        <v>1112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2CC09-C481-4E94-98C4-1A85C428570C}">
  <sheetPr>
    <tabColor rgb="FFFF0000"/>
  </sheetPr>
  <dimension ref="A1:G296"/>
  <sheetViews>
    <sheetView workbookViewId="0">
      <selection activeCell="G8" sqref="G8"/>
    </sheetView>
  </sheetViews>
  <sheetFormatPr defaultRowHeight="14.4" x14ac:dyDescent="0.55000000000000004"/>
  <cols>
    <col min="1" max="1" width="11" bestFit="1" customWidth="1"/>
    <col min="2" max="2" width="27.9453125" bestFit="1" customWidth="1"/>
    <col min="3" max="3" width="11.1015625" bestFit="1" customWidth="1"/>
    <col min="4" max="4" width="6.05078125" bestFit="1" customWidth="1"/>
    <col min="5" max="5" width="9.68359375" bestFit="1" customWidth="1"/>
    <col min="6" max="6" width="14.68359375" bestFit="1" customWidth="1"/>
    <col min="7" max="7" width="22.734375" bestFit="1" customWidth="1"/>
  </cols>
  <sheetData>
    <row r="1" spans="1:7" x14ac:dyDescent="0.55000000000000004">
      <c r="A1" t="s">
        <v>1</v>
      </c>
      <c r="B1" t="s">
        <v>1175</v>
      </c>
      <c r="C1" t="s">
        <v>1176</v>
      </c>
      <c r="D1" t="s">
        <v>1177</v>
      </c>
      <c r="E1" t="s">
        <v>1178</v>
      </c>
      <c r="F1" t="s">
        <v>1179</v>
      </c>
      <c r="G1" t="s">
        <v>1180</v>
      </c>
    </row>
    <row r="2" spans="1:7" x14ac:dyDescent="0.55000000000000004">
      <c r="A2">
        <v>707</v>
      </c>
      <c r="B2" t="s">
        <v>1181</v>
      </c>
      <c r="C2" t="s">
        <v>1649</v>
      </c>
      <c r="D2" t="s">
        <v>1183</v>
      </c>
      <c r="E2">
        <v>34.99</v>
      </c>
      <c r="F2" t="s">
        <v>1184</v>
      </c>
      <c r="G2" t="s">
        <v>1185</v>
      </c>
    </row>
    <row r="3" spans="1:7" x14ac:dyDescent="0.55000000000000004">
      <c r="A3">
        <v>708</v>
      </c>
      <c r="B3" t="s">
        <v>1186</v>
      </c>
      <c r="C3" t="s">
        <v>1187</v>
      </c>
      <c r="D3" t="s">
        <v>1183</v>
      </c>
      <c r="E3">
        <v>34.99</v>
      </c>
      <c r="F3" t="s">
        <v>1184</v>
      </c>
      <c r="G3" t="s">
        <v>1185</v>
      </c>
    </row>
    <row r="4" spans="1:7" x14ac:dyDescent="0.55000000000000004">
      <c r="A4">
        <v>709</v>
      </c>
      <c r="B4" t="s">
        <v>1188</v>
      </c>
      <c r="C4" t="s">
        <v>1189</v>
      </c>
      <c r="D4" t="s">
        <v>1183</v>
      </c>
      <c r="E4">
        <v>9.5</v>
      </c>
      <c r="F4" t="s">
        <v>1190</v>
      </c>
      <c r="G4" t="s">
        <v>1191</v>
      </c>
    </row>
    <row r="5" spans="1:7" x14ac:dyDescent="0.55000000000000004">
      <c r="A5">
        <v>711</v>
      </c>
      <c r="B5" t="s">
        <v>1192</v>
      </c>
      <c r="C5" t="s">
        <v>1193</v>
      </c>
      <c r="D5" t="s">
        <v>1183</v>
      </c>
      <c r="E5">
        <v>34.99</v>
      </c>
      <c r="F5" t="s">
        <v>1184</v>
      </c>
      <c r="G5" t="s">
        <v>1185</v>
      </c>
    </row>
    <row r="6" spans="1:7" x14ac:dyDescent="0.55000000000000004">
      <c r="A6">
        <v>712</v>
      </c>
      <c r="B6" t="s">
        <v>1194</v>
      </c>
      <c r="C6" t="s">
        <v>1195</v>
      </c>
      <c r="D6" t="s">
        <v>1183</v>
      </c>
      <c r="E6">
        <v>8.99</v>
      </c>
      <c r="F6" t="s">
        <v>1196</v>
      </c>
      <c r="G6" t="s">
        <v>1197</v>
      </c>
    </row>
    <row r="7" spans="1:7" x14ac:dyDescent="0.55000000000000004">
      <c r="A7">
        <v>714</v>
      </c>
      <c r="B7" t="s">
        <v>1198</v>
      </c>
      <c r="C7" t="s">
        <v>1195</v>
      </c>
      <c r="D7" t="s">
        <v>1183</v>
      </c>
      <c r="E7">
        <v>49.99</v>
      </c>
      <c r="F7" t="s">
        <v>1199</v>
      </c>
      <c r="G7" t="s">
        <v>1200</v>
      </c>
    </row>
    <row r="8" spans="1:7" x14ac:dyDescent="0.55000000000000004">
      <c r="A8">
        <v>802</v>
      </c>
      <c r="B8" t="s">
        <v>1201</v>
      </c>
      <c r="C8" t="s">
        <v>1202</v>
      </c>
      <c r="D8" t="s">
        <v>1183</v>
      </c>
      <c r="E8">
        <v>148.22</v>
      </c>
      <c r="F8" t="s">
        <v>1203</v>
      </c>
      <c r="G8" t="s">
        <v>1201</v>
      </c>
    </row>
    <row r="9" spans="1:7" x14ac:dyDescent="0.55000000000000004">
      <c r="A9">
        <v>803</v>
      </c>
      <c r="B9" t="s">
        <v>1204</v>
      </c>
      <c r="C9" t="s">
        <v>1202</v>
      </c>
      <c r="D9" t="s">
        <v>1183</v>
      </c>
      <c r="E9">
        <v>175.49</v>
      </c>
      <c r="F9" t="s">
        <v>1203</v>
      </c>
      <c r="G9" t="s">
        <v>1204</v>
      </c>
    </row>
    <row r="10" spans="1:7" x14ac:dyDescent="0.55000000000000004">
      <c r="A10">
        <v>804</v>
      </c>
      <c r="B10" t="s">
        <v>1205</v>
      </c>
      <c r="C10" t="s">
        <v>1202</v>
      </c>
      <c r="D10" t="s">
        <v>1183</v>
      </c>
      <c r="E10">
        <v>229.49</v>
      </c>
      <c r="F10" t="s">
        <v>1203</v>
      </c>
      <c r="G10" t="s">
        <v>1205</v>
      </c>
    </row>
    <row r="11" spans="1:7" x14ac:dyDescent="0.55000000000000004">
      <c r="A11">
        <v>805</v>
      </c>
      <c r="B11" t="s">
        <v>1206</v>
      </c>
      <c r="C11" t="s">
        <v>1202</v>
      </c>
      <c r="D11" t="s">
        <v>1183</v>
      </c>
      <c r="E11">
        <v>34.200000000000003</v>
      </c>
      <c r="F11" t="s">
        <v>1207</v>
      </c>
      <c r="G11" t="s">
        <v>1206</v>
      </c>
    </row>
    <row r="12" spans="1:7" x14ac:dyDescent="0.55000000000000004">
      <c r="A12">
        <v>806</v>
      </c>
      <c r="B12" t="s">
        <v>1208</v>
      </c>
      <c r="C12" t="s">
        <v>1202</v>
      </c>
      <c r="D12" t="s">
        <v>1183</v>
      </c>
      <c r="E12">
        <v>102.29</v>
      </c>
      <c r="F12" t="s">
        <v>1207</v>
      </c>
      <c r="G12" t="s">
        <v>1208</v>
      </c>
    </row>
    <row r="13" spans="1:7" x14ac:dyDescent="0.55000000000000004">
      <c r="A13">
        <v>807</v>
      </c>
      <c r="B13" t="s">
        <v>1209</v>
      </c>
      <c r="C13" t="s">
        <v>1202</v>
      </c>
      <c r="D13" t="s">
        <v>1183</v>
      </c>
      <c r="E13">
        <v>124.73</v>
      </c>
      <c r="F13" t="s">
        <v>1207</v>
      </c>
      <c r="G13" t="s">
        <v>1209</v>
      </c>
    </row>
    <row r="14" spans="1:7" x14ac:dyDescent="0.55000000000000004">
      <c r="A14">
        <v>808</v>
      </c>
      <c r="B14" t="s">
        <v>1210</v>
      </c>
      <c r="C14" t="s">
        <v>1202</v>
      </c>
      <c r="D14" t="s">
        <v>1183</v>
      </c>
      <c r="E14">
        <v>44.54</v>
      </c>
      <c r="F14" t="s">
        <v>1211</v>
      </c>
      <c r="G14" t="s">
        <v>1210</v>
      </c>
    </row>
    <row r="15" spans="1:7" x14ac:dyDescent="0.55000000000000004">
      <c r="A15">
        <v>809</v>
      </c>
      <c r="B15" t="s">
        <v>1212</v>
      </c>
      <c r="C15" t="s">
        <v>1202</v>
      </c>
      <c r="D15" t="s">
        <v>1183</v>
      </c>
      <c r="E15">
        <v>61.92</v>
      </c>
      <c r="F15" t="s">
        <v>1211</v>
      </c>
      <c r="G15" t="s">
        <v>1212</v>
      </c>
    </row>
    <row r="16" spans="1:7" x14ac:dyDescent="0.55000000000000004">
      <c r="A16">
        <v>810</v>
      </c>
      <c r="B16" t="s">
        <v>1213</v>
      </c>
      <c r="C16" t="s">
        <v>1202</v>
      </c>
      <c r="D16" t="s">
        <v>1183</v>
      </c>
      <c r="E16">
        <v>120.27</v>
      </c>
      <c r="F16" t="s">
        <v>1211</v>
      </c>
      <c r="G16" t="s">
        <v>1213</v>
      </c>
    </row>
    <row r="17" spans="1:7" x14ac:dyDescent="0.55000000000000004">
      <c r="A17">
        <v>811</v>
      </c>
      <c r="B17" t="s">
        <v>1214</v>
      </c>
      <c r="C17" t="s">
        <v>1202</v>
      </c>
      <c r="D17" t="s">
        <v>1183</v>
      </c>
      <c r="E17">
        <v>44.54</v>
      </c>
      <c r="F17" t="s">
        <v>1211</v>
      </c>
      <c r="G17" t="s">
        <v>1214</v>
      </c>
    </row>
    <row r="18" spans="1:7" x14ac:dyDescent="0.55000000000000004">
      <c r="A18">
        <v>812</v>
      </c>
      <c r="B18" t="s">
        <v>1215</v>
      </c>
      <c r="C18" t="s">
        <v>1202</v>
      </c>
      <c r="D18" t="s">
        <v>1183</v>
      </c>
      <c r="E18">
        <v>61.92</v>
      </c>
      <c r="F18" t="s">
        <v>1211</v>
      </c>
      <c r="G18" t="s">
        <v>1215</v>
      </c>
    </row>
    <row r="19" spans="1:7" x14ac:dyDescent="0.55000000000000004">
      <c r="A19">
        <v>813</v>
      </c>
      <c r="B19" t="s">
        <v>1216</v>
      </c>
      <c r="C19" t="s">
        <v>1202</v>
      </c>
      <c r="D19" t="s">
        <v>1183</v>
      </c>
      <c r="E19">
        <v>120.27</v>
      </c>
      <c r="F19" t="s">
        <v>1211</v>
      </c>
      <c r="G19" t="s">
        <v>1216</v>
      </c>
    </row>
    <row r="20" spans="1:7" x14ac:dyDescent="0.55000000000000004">
      <c r="A20">
        <v>815</v>
      </c>
      <c r="B20" t="s">
        <v>1217</v>
      </c>
      <c r="C20" t="s">
        <v>1187</v>
      </c>
      <c r="D20" t="s">
        <v>1183</v>
      </c>
      <c r="E20">
        <v>60.744999999999997</v>
      </c>
      <c r="F20" t="s">
        <v>1218</v>
      </c>
      <c r="G20" t="s">
        <v>1217</v>
      </c>
    </row>
    <row r="21" spans="1:7" x14ac:dyDescent="0.55000000000000004">
      <c r="A21">
        <v>816</v>
      </c>
      <c r="B21" t="s">
        <v>1219</v>
      </c>
      <c r="C21" t="s">
        <v>1187</v>
      </c>
      <c r="D21" t="s">
        <v>1183</v>
      </c>
      <c r="E21">
        <v>209.02500000000001</v>
      </c>
      <c r="F21" t="s">
        <v>1218</v>
      </c>
      <c r="G21" t="s">
        <v>1219</v>
      </c>
    </row>
    <row r="22" spans="1:7" x14ac:dyDescent="0.55000000000000004">
      <c r="A22">
        <v>817</v>
      </c>
      <c r="B22" t="s">
        <v>1220</v>
      </c>
      <c r="C22" t="s">
        <v>1187</v>
      </c>
      <c r="D22" t="s">
        <v>1183</v>
      </c>
      <c r="E22">
        <v>300.21499999999997</v>
      </c>
      <c r="F22" t="s">
        <v>1218</v>
      </c>
      <c r="G22" t="s">
        <v>1220</v>
      </c>
    </row>
    <row r="23" spans="1:7" x14ac:dyDescent="0.55000000000000004">
      <c r="A23">
        <v>818</v>
      </c>
      <c r="B23" t="s">
        <v>1221</v>
      </c>
      <c r="C23" t="s">
        <v>1187</v>
      </c>
      <c r="D23" t="s">
        <v>1183</v>
      </c>
      <c r="E23">
        <v>85.564999999999998</v>
      </c>
      <c r="F23" t="s">
        <v>1218</v>
      </c>
      <c r="G23" t="s">
        <v>1221</v>
      </c>
    </row>
    <row r="24" spans="1:7" x14ac:dyDescent="0.55000000000000004">
      <c r="A24">
        <v>819</v>
      </c>
      <c r="B24" t="s">
        <v>1222</v>
      </c>
      <c r="C24" t="s">
        <v>1187</v>
      </c>
      <c r="D24" t="s">
        <v>1183</v>
      </c>
      <c r="E24">
        <v>248.38499999999999</v>
      </c>
      <c r="F24" t="s">
        <v>1218</v>
      </c>
      <c r="G24" t="s">
        <v>1222</v>
      </c>
    </row>
    <row r="25" spans="1:7" x14ac:dyDescent="0.55000000000000004">
      <c r="A25">
        <v>820</v>
      </c>
      <c r="B25" t="s">
        <v>1223</v>
      </c>
      <c r="C25" t="s">
        <v>1187</v>
      </c>
      <c r="D25" t="s">
        <v>1183</v>
      </c>
      <c r="E25">
        <v>330.06</v>
      </c>
      <c r="F25" t="s">
        <v>1218</v>
      </c>
      <c r="G25" t="s">
        <v>1223</v>
      </c>
    </row>
    <row r="26" spans="1:7" x14ac:dyDescent="0.55000000000000004">
      <c r="A26">
        <v>821</v>
      </c>
      <c r="B26" t="s">
        <v>1224</v>
      </c>
      <c r="C26" t="s">
        <v>1187</v>
      </c>
      <c r="D26" t="s">
        <v>1183</v>
      </c>
      <c r="E26">
        <v>218.01</v>
      </c>
      <c r="F26" t="s">
        <v>1218</v>
      </c>
      <c r="G26" t="s">
        <v>1224</v>
      </c>
    </row>
    <row r="27" spans="1:7" x14ac:dyDescent="0.55000000000000004">
      <c r="A27">
        <v>823</v>
      </c>
      <c r="B27" t="s">
        <v>1225</v>
      </c>
      <c r="C27" t="s">
        <v>1187</v>
      </c>
      <c r="D27" t="s">
        <v>1183</v>
      </c>
      <c r="E27">
        <v>87.745000000000005</v>
      </c>
      <c r="F27" t="s">
        <v>1218</v>
      </c>
      <c r="G27" t="s">
        <v>1225</v>
      </c>
    </row>
    <row r="28" spans="1:7" x14ac:dyDescent="0.55000000000000004">
      <c r="A28">
        <v>824</v>
      </c>
      <c r="B28" t="s">
        <v>1226</v>
      </c>
      <c r="C28" t="s">
        <v>1187</v>
      </c>
      <c r="D28" t="s">
        <v>1183</v>
      </c>
      <c r="E28">
        <v>236.02500000000001</v>
      </c>
      <c r="F28" t="s">
        <v>1218</v>
      </c>
      <c r="G28" t="s">
        <v>1226</v>
      </c>
    </row>
    <row r="29" spans="1:7" x14ac:dyDescent="0.55000000000000004">
      <c r="A29">
        <v>825</v>
      </c>
      <c r="B29" t="s">
        <v>1227</v>
      </c>
      <c r="C29" t="s">
        <v>1187</v>
      </c>
      <c r="D29" t="s">
        <v>1183</v>
      </c>
      <c r="E29">
        <v>327.21499999999997</v>
      </c>
      <c r="F29" t="s">
        <v>1218</v>
      </c>
      <c r="G29" t="s">
        <v>1227</v>
      </c>
    </row>
    <row r="30" spans="1:7" x14ac:dyDescent="0.55000000000000004">
      <c r="A30">
        <v>826</v>
      </c>
      <c r="B30" t="s">
        <v>1228</v>
      </c>
      <c r="C30" t="s">
        <v>1187</v>
      </c>
      <c r="D30" t="s">
        <v>1183</v>
      </c>
      <c r="E30">
        <v>112.565</v>
      </c>
      <c r="F30" t="s">
        <v>1218</v>
      </c>
      <c r="G30" t="s">
        <v>1228</v>
      </c>
    </row>
    <row r="31" spans="1:7" x14ac:dyDescent="0.55000000000000004">
      <c r="A31">
        <v>827</v>
      </c>
      <c r="B31" t="s">
        <v>1229</v>
      </c>
      <c r="C31" t="s">
        <v>1187</v>
      </c>
      <c r="D31" t="s">
        <v>1183</v>
      </c>
      <c r="E31">
        <v>275.38499999999999</v>
      </c>
      <c r="F31" t="s">
        <v>1218</v>
      </c>
      <c r="G31" t="s">
        <v>1229</v>
      </c>
    </row>
    <row r="32" spans="1:7" x14ac:dyDescent="0.55000000000000004">
      <c r="A32">
        <v>828</v>
      </c>
      <c r="B32" t="s">
        <v>1230</v>
      </c>
      <c r="C32" t="s">
        <v>1187</v>
      </c>
      <c r="D32" t="s">
        <v>1183</v>
      </c>
      <c r="E32">
        <v>357.06</v>
      </c>
      <c r="F32" t="s">
        <v>1218</v>
      </c>
      <c r="G32" t="s">
        <v>1230</v>
      </c>
    </row>
    <row r="33" spans="1:7" x14ac:dyDescent="0.55000000000000004">
      <c r="A33">
        <v>829</v>
      </c>
      <c r="B33" t="s">
        <v>1231</v>
      </c>
      <c r="C33" t="s">
        <v>1187</v>
      </c>
      <c r="D33" t="s">
        <v>1183</v>
      </c>
      <c r="E33">
        <v>245.01</v>
      </c>
      <c r="F33" t="s">
        <v>1218</v>
      </c>
      <c r="G33" t="s">
        <v>1231</v>
      </c>
    </row>
    <row r="34" spans="1:7" x14ac:dyDescent="0.55000000000000004">
      <c r="A34">
        <v>842</v>
      </c>
      <c r="B34" t="s">
        <v>1232</v>
      </c>
      <c r="C34" t="s">
        <v>1233</v>
      </c>
      <c r="D34" t="s">
        <v>1183</v>
      </c>
      <c r="E34">
        <v>125</v>
      </c>
      <c r="F34" t="s">
        <v>1234</v>
      </c>
      <c r="G34" t="s">
        <v>1235</v>
      </c>
    </row>
    <row r="35" spans="1:7" x14ac:dyDescent="0.55000000000000004">
      <c r="A35">
        <v>843</v>
      </c>
      <c r="B35" t="s">
        <v>1236</v>
      </c>
      <c r="C35" t="s">
        <v>1202</v>
      </c>
      <c r="D35" t="s">
        <v>1183</v>
      </c>
      <c r="E35">
        <v>25</v>
      </c>
      <c r="F35" t="s">
        <v>1237</v>
      </c>
      <c r="G35" t="s">
        <v>1236</v>
      </c>
    </row>
    <row r="36" spans="1:7" x14ac:dyDescent="0.55000000000000004">
      <c r="A36">
        <v>844</v>
      </c>
      <c r="B36" t="s">
        <v>1238</v>
      </c>
      <c r="C36" t="s">
        <v>1202</v>
      </c>
      <c r="D36" t="s">
        <v>1183</v>
      </c>
      <c r="E36">
        <v>19.989999999999998</v>
      </c>
      <c r="F36" t="s">
        <v>1239</v>
      </c>
      <c r="G36" t="s">
        <v>1238</v>
      </c>
    </row>
    <row r="37" spans="1:7" x14ac:dyDescent="0.55000000000000004">
      <c r="A37">
        <v>845</v>
      </c>
      <c r="B37" t="s">
        <v>1240</v>
      </c>
      <c r="C37" t="s">
        <v>1202</v>
      </c>
      <c r="D37" t="s">
        <v>1183</v>
      </c>
      <c r="E37">
        <v>24.99</v>
      </c>
      <c r="F37" t="s">
        <v>1239</v>
      </c>
      <c r="G37" t="s">
        <v>1240</v>
      </c>
    </row>
    <row r="38" spans="1:7" x14ac:dyDescent="0.55000000000000004">
      <c r="A38">
        <v>846</v>
      </c>
      <c r="B38" t="s">
        <v>1241</v>
      </c>
      <c r="C38" t="s">
        <v>1202</v>
      </c>
      <c r="D38" t="s">
        <v>1183</v>
      </c>
      <c r="E38">
        <v>13.99</v>
      </c>
      <c r="F38" t="s">
        <v>1242</v>
      </c>
      <c r="G38" t="s">
        <v>1243</v>
      </c>
    </row>
    <row r="39" spans="1:7" x14ac:dyDescent="0.55000000000000004">
      <c r="A39">
        <v>847</v>
      </c>
      <c r="B39" t="s">
        <v>1244</v>
      </c>
      <c r="C39" t="s">
        <v>1202</v>
      </c>
      <c r="D39" t="s">
        <v>1183</v>
      </c>
      <c r="E39">
        <v>34.99</v>
      </c>
      <c r="F39" t="s">
        <v>1242</v>
      </c>
      <c r="G39" t="s">
        <v>1244</v>
      </c>
    </row>
    <row r="40" spans="1:7" x14ac:dyDescent="0.55000000000000004">
      <c r="A40">
        <v>848</v>
      </c>
      <c r="B40" t="s">
        <v>1245</v>
      </c>
      <c r="C40" t="s">
        <v>1202</v>
      </c>
      <c r="D40" t="s">
        <v>1183</v>
      </c>
      <c r="E40">
        <v>44.99</v>
      </c>
      <c r="F40" t="s">
        <v>1242</v>
      </c>
      <c r="G40" t="s">
        <v>1245</v>
      </c>
    </row>
    <row r="41" spans="1:7" x14ac:dyDescent="0.55000000000000004">
      <c r="A41">
        <v>849</v>
      </c>
      <c r="B41" t="s">
        <v>1246</v>
      </c>
      <c r="C41" t="s">
        <v>1187</v>
      </c>
      <c r="D41" t="s">
        <v>1183</v>
      </c>
      <c r="E41">
        <v>59.99</v>
      </c>
      <c r="F41" t="s">
        <v>1247</v>
      </c>
      <c r="G41" t="s">
        <v>1248</v>
      </c>
    </row>
    <row r="42" spans="1:7" x14ac:dyDescent="0.55000000000000004">
      <c r="A42">
        <v>853</v>
      </c>
      <c r="B42" t="s">
        <v>1249</v>
      </c>
      <c r="C42" t="s">
        <v>1187</v>
      </c>
      <c r="D42" t="s">
        <v>1183</v>
      </c>
      <c r="E42">
        <v>74.989999999999995</v>
      </c>
      <c r="F42" t="s">
        <v>1250</v>
      </c>
      <c r="G42" t="s">
        <v>1251</v>
      </c>
    </row>
    <row r="43" spans="1:7" x14ac:dyDescent="0.55000000000000004">
      <c r="A43">
        <v>856</v>
      </c>
      <c r="B43" t="s">
        <v>1252</v>
      </c>
      <c r="C43" t="s">
        <v>1195</v>
      </c>
      <c r="D43" t="s">
        <v>1183</v>
      </c>
      <c r="E43">
        <v>89.99</v>
      </c>
      <c r="F43" t="s">
        <v>1253</v>
      </c>
      <c r="G43" t="s">
        <v>1254</v>
      </c>
    </row>
    <row r="44" spans="1:7" x14ac:dyDescent="0.55000000000000004">
      <c r="A44">
        <v>859</v>
      </c>
      <c r="B44" t="s">
        <v>1255</v>
      </c>
      <c r="C44" t="s">
        <v>1187</v>
      </c>
      <c r="D44" t="s">
        <v>1183</v>
      </c>
      <c r="E44">
        <v>24.49</v>
      </c>
      <c r="F44" t="s">
        <v>1256</v>
      </c>
      <c r="G44" t="s">
        <v>1257</v>
      </c>
    </row>
    <row r="45" spans="1:7" x14ac:dyDescent="0.55000000000000004">
      <c r="A45">
        <v>862</v>
      </c>
      <c r="B45" t="s">
        <v>1258</v>
      </c>
      <c r="C45" t="s">
        <v>1187</v>
      </c>
      <c r="D45" t="s">
        <v>1183</v>
      </c>
      <c r="E45">
        <v>37.99</v>
      </c>
      <c r="F45" t="s">
        <v>1256</v>
      </c>
      <c r="G45" t="s">
        <v>1259</v>
      </c>
    </row>
    <row r="46" spans="1:7" x14ac:dyDescent="0.55000000000000004">
      <c r="A46">
        <v>865</v>
      </c>
      <c r="B46" t="s">
        <v>1260</v>
      </c>
      <c r="C46" t="s">
        <v>1193</v>
      </c>
      <c r="D46" t="s">
        <v>1183</v>
      </c>
      <c r="E46">
        <v>63.5</v>
      </c>
      <c r="F46" t="s">
        <v>1261</v>
      </c>
      <c r="G46" t="s">
        <v>1262</v>
      </c>
    </row>
    <row r="47" spans="1:7" x14ac:dyDescent="0.55000000000000004">
      <c r="A47">
        <v>868</v>
      </c>
      <c r="B47" t="s">
        <v>1263</v>
      </c>
      <c r="C47" t="s">
        <v>1187</v>
      </c>
      <c r="D47" t="s">
        <v>1183</v>
      </c>
      <c r="E47">
        <v>69.989999999999995</v>
      </c>
      <c r="F47" t="s">
        <v>1247</v>
      </c>
      <c r="G47" t="s">
        <v>1264</v>
      </c>
    </row>
    <row r="48" spans="1:7" x14ac:dyDescent="0.55000000000000004">
      <c r="A48">
        <v>870</v>
      </c>
      <c r="B48" t="s">
        <v>1265</v>
      </c>
      <c r="C48" t="s">
        <v>1202</v>
      </c>
      <c r="D48" t="s">
        <v>1183</v>
      </c>
      <c r="E48">
        <v>4.99</v>
      </c>
      <c r="F48" t="s">
        <v>1266</v>
      </c>
      <c r="G48" t="s">
        <v>1267</v>
      </c>
    </row>
    <row r="49" spans="1:7" x14ac:dyDescent="0.55000000000000004">
      <c r="A49">
        <v>871</v>
      </c>
      <c r="B49" t="s">
        <v>1268</v>
      </c>
      <c r="C49" t="s">
        <v>1202</v>
      </c>
      <c r="D49" t="s">
        <v>1183</v>
      </c>
      <c r="E49">
        <v>9.99</v>
      </c>
      <c r="F49" t="s">
        <v>1266</v>
      </c>
      <c r="G49" t="s">
        <v>1268</v>
      </c>
    </row>
    <row r="50" spans="1:7" x14ac:dyDescent="0.55000000000000004">
      <c r="A50">
        <v>872</v>
      </c>
      <c r="B50" t="s">
        <v>1269</v>
      </c>
      <c r="C50" t="s">
        <v>1202</v>
      </c>
      <c r="D50" t="s">
        <v>1183</v>
      </c>
      <c r="E50">
        <v>8.99</v>
      </c>
      <c r="F50" t="s">
        <v>1266</v>
      </c>
      <c r="G50" t="s">
        <v>1269</v>
      </c>
    </row>
    <row r="51" spans="1:7" x14ac:dyDescent="0.55000000000000004">
      <c r="A51">
        <v>873</v>
      </c>
      <c r="B51" t="s">
        <v>1270</v>
      </c>
      <c r="C51" t="s">
        <v>1202</v>
      </c>
      <c r="D51" t="s">
        <v>1183</v>
      </c>
      <c r="E51">
        <v>2.29</v>
      </c>
      <c r="F51" t="s">
        <v>1271</v>
      </c>
      <c r="G51" t="s">
        <v>1272</v>
      </c>
    </row>
    <row r="52" spans="1:7" x14ac:dyDescent="0.55000000000000004">
      <c r="A52">
        <v>874</v>
      </c>
      <c r="B52" t="s">
        <v>1273</v>
      </c>
      <c r="C52" t="s">
        <v>1189</v>
      </c>
      <c r="D52" t="s">
        <v>1183</v>
      </c>
      <c r="E52">
        <v>8.99</v>
      </c>
      <c r="F52" t="s">
        <v>1190</v>
      </c>
      <c r="G52" t="s">
        <v>1274</v>
      </c>
    </row>
    <row r="53" spans="1:7" x14ac:dyDescent="0.55000000000000004">
      <c r="A53">
        <v>876</v>
      </c>
      <c r="B53" t="s">
        <v>1275</v>
      </c>
      <c r="C53" t="s">
        <v>1202</v>
      </c>
      <c r="D53" t="s">
        <v>1183</v>
      </c>
      <c r="E53">
        <v>120</v>
      </c>
      <c r="F53" t="s">
        <v>1276</v>
      </c>
      <c r="G53" t="s">
        <v>1275</v>
      </c>
    </row>
    <row r="54" spans="1:7" x14ac:dyDescent="0.55000000000000004">
      <c r="A54">
        <v>877</v>
      </c>
      <c r="B54" t="s">
        <v>1277</v>
      </c>
      <c r="C54" t="s">
        <v>1202</v>
      </c>
      <c r="D54" t="s">
        <v>1183</v>
      </c>
      <c r="E54">
        <v>7.95</v>
      </c>
      <c r="F54" t="s">
        <v>1278</v>
      </c>
      <c r="G54" t="s">
        <v>1279</v>
      </c>
    </row>
    <row r="55" spans="1:7" x14ac:dyDescent="0.55000000000000004">
      <c r="A55">
        <v>878</v>
      </c>
      <c r="B55" t="s">
        <v>1280</v>
      </c>
      <c r="C55" t="s">
        <v>1202</v>
      </c>
      <c r="D55" t="s">
        <v>1183</v>
      </c>
      <c r="E55">
        <v>21.98</v>
      </c>
      <c r="F55" t="s">
        <v>1281</v>
      </c>
      <c r="G55" t="s">
        <v>1280</v>
      </c>
    </row>
    <row r="56" spans="1:7" x14ac:dyDescent="0.55000000000000004">
      <c r="A56">
        <v>879</v>
      </c>
      <c r="B56" t="s">
        <v>1282</v>
      </c>
      <c r="C56" t="s">
        <v>1202</v>
      </c>
      <c r="D56" t="s">
        <v>1183</v>
      </c>
      <c r="E56">
        <v>159</v>
      </c>
      <c r="F56" t="s">
        <v>1283</v>
      </c>
      <c r="G56" t="s">
        <v>1282</v>
      </c>
    </row>
    <row r="57" spans="1:7" x14ac:dyDescent="0.55000000000000004">
      <c r="A57">
        <v>882</v>
      </c>
      <c r="B57" t="s">
        <v>1284</v>
      </c>
      <c r="C57" t="s">
        <v>1285</v>
      </c>
      <c r="D57" t="s">
        <v>1183</v>
      </c>
      <c r="E57">
        <v>53.99</v>
      </c>
      <c r="F57" t="s">
        <v>1199</v>
      </c>
      <c r="G57" t="s">
        <v>1286</v>
      </c>
    </row>
    <row r="58" spans="1:7" x14ac:dyDescent="0.55000000000000004">
      <c r="A58">
        <v>894</v>
      </c>
      <c r="B58" t="s">
        <v>1287</v>
      </c>
      <c r="C58" t="s">
        <v>1288</v>
      </c>
      <c r="D58" t="s">
        <v>1183</v>
      </c>
      <c r="E58">
        <v>121.46</v>
      </c>
      <c r="F58" t="s">
        <v>1289</v>
      </c>
      <c r="G58" t="s">
        <v>1287</v>
      </c>
    </row>
    <row r="59" spans="1:7" x14ac:dyDescent="0.55000000000000004">
      <c r="A59">
        <v>907</v>
      </c>
      <c r="B59" t="s">
        <v>1290</v>
      </c>
      <c r="C59" t="s">
        <v>1288</v>
      </c>
      <c r="D59" t="s">
        <v>1183</v>
      </c>
      <c r="E59">
        <v>106.5</v>
      </c>
      <c r="F59" t="s">
        <v>1291</v>
      </c>
      <c r="G59" t="s">
        <v>1290</v>
      </c>
    </row>
    <row r="60" spans="1:7" x14ac:dyDescent="0.55000000000000004">
      <c r="A60">
        <v>908</v>
      </c>
      <c r="B60" t="s">
        <v>1292</v>
      </c>
      <c r="C60" t="s">
        <v>1202</v>
      </c>
      <c r="D60" t="s">
        <v>1183</v>
      </c>
      <c r="E60">
        <v>27.12</v>
      </c>
      <c r="F60" t="s">
        <v>1293</v>
      </c>
      <c r="G60" t="s">
        <v>1294</v>
      </c>
    </row>
    <row r="61" spans="1:7" x14ac:dyDescent="0.55000000000000004">
      <c r="A61">
        <v>909</v>
      </c>
      <c r="B61" t="s">
        <v>1295</v>
      </c>
      <c r="C61" t="s">
        <v>1202</v>
      </c>
      <c r="D61" t="s">
        <v>1183</v>
      </c>
      <c r="E61">
        <v>39.14</v>
      </c>
      <c r="F61" t="s">
        <v>1293</v>
      </c>
      <c r="G61" t="s">
        <v>1296</v>
      </c>
    </row>
    <row r="62" spans="1:7" x14ac:dyDescent="0.55000000000000004">
      <c r="A62">
        <v>910</v>
      </c>
      <c r="B62" t="s">
        <v>1297</v>
      </c>
      <c r="C62" t="s">
        <v>1202</v>
      </c>
      <c r="D62" t="s">
        <v>1183</v>
      </c>
      <c r="E62">
        <v>52.64</v>
      </c>
      <c r="F62" t="s">
        <v>1293</v>
      </c>
      <c r="G62" t="s">
        <v>1298</v>
      </c>
    </row>
    <row r="63" spans="1:7" x14ac:dyDescent="0.55000000000000004">
      <c r="A63">
        <v>911</v>
      </c>
      <c r="B63" t="s">
        <v>1299</v>
      </c>
      <c r="C63" t="s">
        <v>1202</v>
      </c>
      <c r="D63" t="s">
        <v>1183</v>
      </c>
      <c r="E63">
        <v>27.12</v>
      </c>
      <c r="F63" t="s">
        <v>1293</v>
      </c>
      <c r="G63" t="s">
        <v>1300</v>
      </c>
    </row>
    <row r="64" spans="1:7" x14ac:dyDescent="0.55000000000000004">
      <c r="A64">
        <v>912</v>
      </c>
      <c r="B64" t="s">
        <v>1301</v>
      </c>
      <c r="C64" t="s">
        <v>1202</v>
      </c>
      <c r="D64" t="s">
        <v>1183</v>
      </c>
      <c r="E64">
        <v>39.14</v>
      </c>
      <c r="F64" t="s">
        <v>1293</v>
      </c>
      <c r="G64" t="s">
        <v>1302</v>
      </c>
    </row>
    <row r="65" spans="1:7" x14ac:dyDescent="0.55000000000000004">
      <c r="A65">
        <v>913</v>
      </c>
      <c r="B65" t="s">
        <v>1303</v>
      </c>
      <c r="C65" t="s">
        <v>1202</v>
      </c>
      <c r="D65" t="s">
        <v>1183</v>
      </c>
      <c r="E65">
        <v>52.64</v>
      </c>
      <c r="F65" t="s">
        <v>1293</v>
      </c>
      <c r="G65" t="s">
        <v>1304</v>
      </c>
    </row>
    <row r="66" spans="1:7" x14ac:dyDescent="0.55000000000000004">
      <c r="A66">
        <v>914</v>
      </c>
      <c r="B66" t="s">
        <v>1305</v>
      </c>
      <c r="C66" t="s">
        <v>1202</v>
      </c>
      <c r="D66" t="s">
        <v>1183</v>
      </c>
      <c r="E66">
        <v>27.12</v>
      </c>
      <c r="F66" t="s">
        <v>1293</v>
      </c>
      <c r="G66" t="s">
        <v>1305</v>
      </c>
    </row>
    <row r="67" spans="1:7" x14ac:dyDescent="0.55000000000000004">
      <c r="A67">
        <v>915</v>
      </c>
      <c r="B67" t="s">
        <v>1306</v>
      </c>
      <c r="C67" t="s">
        <v>1202</v>
      </c>
      <c r="D67" t="s">
        <v>1183</v>
      </c>
      <c r="E67">
        <v>39.14</v>
      </c>
      <c r="F67" t="s">
        <v>1293</v>
      </c>
      <c r="G67" t="s">
        <v>1306</v>
      </c>
    </row>
    <row r="68" spans="1:7" x14ac:dyDescent="0.55000000000000004">
      <c r="A68">
        <v>916</v>
      </c>
      <c r="B68" t="s">
        <v>1307</v>
      </c>
      <c r="C68" t="s">
        <v>1202</v>
      </c>
      <c r="D68" t="s">
        <v>1183</v>
      </c>
      <c r="E68">
        <v>52.64</v>
      </c>
      <c r="F68" t="s">
        <v>1293</v>
      </c>
      <c r="G68" t="s">
        <v>1307</v>
      </c>
    </row>
    <row r="69" spans="1:7" x14ac:dyDescent="0.55000000000000004">
      <c r="A69">
        <v>921</v>
      </c>
      <c r="B69" t="s">
        <v>1308</v>
      </c>
      <c r="C69" t="s">
        <v>1202</v>
      </c>
      <c r="D69" t="s">
        <v>1183</v>
      </c>
      <c r="E69">
        <v>4.99</v>
      </c>
      <c r="F69" t="s">
        <v>1271</v>
      </c>
      <c r="G69" t="s">
        <v>1308</v>
      </c>
    </row>
    <row r="70" spans="1:7" x14ac:dyDescent="0.55000000000000004">
      <c r="A70">
        <v>922</v>
      </c>
      <c r="B70" t="s">
        <v>1309</v>
      </c>
      <c r="C70" t="s">
        <v>1202</v>
      </c>
      <c r="D70" t="s">
        <v>1183</v>
      </c>
      <c r="E70">
        <v>3.99</v>
      </c>
      <c r="F70" t="s">
        <v>1271</v>
      </c>
      <c r="G70" t="s">
        <v>1309</v>
      </c>
    </row>
    <row r="71" spans="1:7" x14ac:dyDescent="0.55000000000000004">
      <c r="A71">
        <v>923</v>
      </c>
      <c r="B71" t="s">
        <v>1310</v>
      </c>
      <c r="C71" t="s">
        <v>1202</v>
      </c>
      <c r="D71" t="s">
        <v>1183</v>
      </c>
      <c r="E71">
        <v>4.99</v>
      </c>
      <c r="F71" t="s">
        <v>1271</v>
      </c>
      <c r="G71" t="s">
        <v>1310</v>
      </c>
    </row>
    <row r="72" spans="1:7" x14ac:dyDescent="0.55000000000000004">
      <c r="A72">
        <v>928</v>
      </c>
      <c r="B72" t="s">
        <v>1311</v>
      </c>
      <c r="C72" t="s">
        <v>1202</v>
      </c>
      <c r="D72" t="s">
        <v>1183</v>
      </c>
      <c r="E72">
        <v>24.99</v>
      </c>
      <c r="F72" t="s">
        <v>1271</v>
      </c>
      <c r="G72" t="s">
        <v>1311</v>
      </c>
    </row>
    <row r="73" spans="1:7" x14ac:dyDescent="0.55000000000000004">
      <c r="A73">
        <v>929</v>
      </c>
      <c r="B73" t="s">
        <v>1312</v>
      </c>
      <c r="C73" t="s">
        <v>1202</v>
      </c>
      <c r="D73" t="s">
        <v>1183</v>
      </c>
      <c r="E73">
        <v>29.99</v>
      </c>
      <c r="F73" t="s">
        <v>1271</v>
      </c>
      <c r="G73" t="s">
        <v>1312</v>
      </c>
    </row>
    <row r="74" spans="1:7" x14ac:dyDescent="0.55000000000000004">
      <c r="A74">
        <v>930</v>
      </c>
      <c r="B74" t="s">
        <v>1313</v>
      </c>
      <c r="C74" t="s">
        <v>1202</v>
      </c>
      <c r="D74" t="s">
        <v>1183</v>
      </c>
      <c r="E74">
        <v>35</v>
      </c>
      <c r="F74" t="s">
        <v>1271</v>
      </c>
      <c r="G74" t="s">
        <v>1313</v>
      </c>
    </row>
    <row r="75" spans="1:7" x14ac:dyDescent="0.55000000000000004">
      <c r="A75">
        <v>931</v>
      </c>
      <c r="B75" t="s">
        <v>1314</v>
      </c>
      <c r="C75" t="s">
        <v>1202</v>
      </c>
      <c r="D75" t="s">
        <v>1183</v>
      </c>
      <c r="E75">
        <v>21.49</v>
      </c>
      <c r="F75" t="s">
        <v>1271</v>
      </c>
      <c r="G75" t="s">
        <v>1314</v>
      </c>
    </row>
    <row r="76" spans="1:7" x14ac:dyDescent="0.55000000000000004">
      <c r="A76">
        <v>932</v>
      </c>
      <c r="B76" t="s">
        <v>1315</v>
      </c>
      <c r="C76" t="s">
        <v>1202</v>
      </c>
      <c r="D76" t="s">
        <v>1183</v>
      </c>
      <c r="E76">
        <v>24.99</v>
      </c>
      <c r="F76" t="s">
        <v>1271</v>
      </c>
      <c r="G76" t="s">
        <v>1315</v>
      </c>
    </row>
    <row r="77" spans="1:7" x14ac:dyDescent="0.55000000000000004">
      <c r="A77">
        <v>933</v>
      </c>
      <c r="B77" t="s">
        <v>1316</v>
      </c>
      <c r="C77" t="s">
        <v>1202</v>
      </c>
      <c r="D77" t="s">
        <v>1183</v>
      </c>
      <c r="E77">
        <v>32.6</v>
      </c>
      <c r="F77" t="s">
        <v>1271</v>
      </c>
      <c r="G77" t="s">
        <v>1316</v>
      </c>
    </row>
    <row r="78" spans="1:7" x14ac:dyDescent="0.55000000000000004">
      <c r="A78">
        <v>934</v>
      </c>
      <c r="B78" t="s">
        <v>1317</v>
      </c>
      <c r="C78" t="s">
        <v>1202</v>
      </c>
      <c r="D78" t="s">
        <v>1183</v>
      </c>
      <c r="E78">
        <v>28.99</v>
      </c>
      <c r="F78" t="s">
        <v>1271</v>
      </c>
      <c r="G78" t="s">
        <v>1317</v>
      </c>
    </row>
    <row r="79" spans="1:7" x14ac:dyDescent="0.55000000000000004">
      <c r="A79">
        <v>935</v>
      </c>
      <c r="B79" t="s">
        <v>1318</v>
      </c>
      <c r="C79" t="s">
        <v>1319</v>
      </c>
      <c r="D79" t="s">
        <v>1183</v>
      </c>
      <c r="E79">
        <v>40.49</v>
      </c>
      <c r="F79" t="s">
        <v>1320</v>
      </c>
      <c r="G79" t="s">
        <v>1318</v>
      </c>
    </row>
    <row r="80" spans="1:7" x14ac:dyDescent="0.55000000000000004">
      <c r="A80">
        <v>936</v>
      </c>
      <c r="B80" t="s">
        <v>1321</v>
      </c>
      <c r="C80" t="s">
        <v>1319</v>
      </c>
      <c r="D80" t="s">
        <v>1183</v>
      </c>
      <c r="E80">
        <v>62.09</v>
      </c>
      <c r="F80" t="s">
        <v>1320</v>
      </c>
      <c r="G80" t="s">
        <v>1321</v>
      </c>
    </row>
    <row r="81" spans="1:7" x14ac:dyDescent="0.55000000000000004">
      <c r="A81">
        <v>937</v>
      </c>
      <c r="B81" t="s">
        <v>1322</v>
      </c>
      <c r="C81" t="s">
        <v>1319</v>
      </c>
      <c r="D81" t="s">
        <v>1183</v>
      </c>
      <c r="E81">
        <v>80.989999999999995</v>
      </c>
      <c r="F81" t="s">
        <v>1320</v>
      </c>
      <c r="G81" t="s">
        <v>1322</v>
      </c>
    </row>
    <row r="82" spans="1:7" x14ac:dyDescent="0.55000000000000004">
      <c r="A82">
        <v>938</v>
      </c>
      <c r="B82" t="s">
        <v>1323</v>
      </c>
      <c r="C82" t="s">
        <v>1319</v>
      </c>
      <c r="D82" t="s">
        <v>1183</v>
      </c>
      <c r="E82">
        <v>40.49</v>
      </c>
      <c r="F82" t="s">
        <v>1320</v>
      </c>
      <c r="G82" t="s">
        <v>1323</v>
      </c>
    </row>
    <row r="83" spans="1:7" x14ac:dyDescent="0.55000000000000004">
      <c r="A83">
        <v>939</v>
      </c>
      <c r="B83" t="s">
        <v>1324</v>
      </c>
      <c r="C83" t="s">
        <v>1319</v>
      </c>
      <c r="D83" t="s">
        <v>1183</v>
      </c>
      <c r="E83">
        <v>62.09</v>
      </c>
      <c r="F83" t="s">
        <v>1320</v>
      </c>
      <c r="G83" t="s">
        <v>1324</v>
      </c>
    </row>
    <row r="84" spans="1:7" x14ac:dyDescent="0.55000000000000004">
      <c r="A84">
        <v>940</v>
      </c>
      <c r="B84" t="s">
        <v>1325</v>
      </c>
      <c r="C84" t="s">
        <v>1319</v>
      </c>
      <c r="D84" t="s">
        <v>1183</v>
      </c>
      <c r="E84">
        <v>80.989999999999995</v>
      </c>
      <c r="F84" t="s">
        <v>1320</v>
      </c>
      <c r="G84" t="s">
        <v>1325</v>
      </c>
    </row>
    <row r="85" spans="1:7" x14ac:dyDescent="0.55000000000000004">
      <c r="A85">
        <v>941</v>
      </c>
      <c r="B85" t="s">
        <v>1326</v>
      </c>
      <c r="C85" t="s">
        <v>1319</v>
      </c>
      <c r="D85" t="s">
        <v>1183</v>
      </c>
      <c r="E85">
        <v>80.989999999999995</v>
      </c>
      <c r="F85" t="s">
        <v>1320</v>
      </c>
      <c r="G85" t="s">
        <v>1326</v>
      </c>
    </row>
    <row r="86" spans="1:7" x14ac:dyDescent="0.55000000000000004">
      <c r="A86">
        <v>945</v>
      </c>
      <c r="B86" t="s">
        <v>1327</v>
      </c>
      <c r="C86" t="s">
        <v>1288</v>
      </c>
      <c r="D86" t="s">
        <v>1183</v>
      </c>
      <c r="E86">
        <v>91.49</v>
      </c>
      <c r="F86" t="s">
        <v>1289</v>
      </c>
      <c r="G86" t="s">
        <v>1327</v>
      </c>
    </row>
    <row r="87" spans="1:7" x14ac:dyDescent="0.55000000000000004">
      <c r="A87">
        <v>946</v>
      </c>
      <c r="B87" t="s">
        <v>1328</v>
      </c>
      <c r="C87" t="s">
        <v>1202</v>
      </c>
      <c r="D87" t="s">
        <v>1183</v>
      </c>
      <c r="E87">
        <v>46.09</v>
      </c>
      <c r="F87" t="s">
        <v>1211</v>
      </c>
      <c r="G87" t="s">
        <v>1328</v>
      </c>
    </row>
    <row r="88" spans="1:7" x14ac:dyDescent="0.55000000000000004">
      <c r="A88">
        <v>947</v>
      </c>
      <c r="B88" t="s">
        <v>1329</v>
      </c>
      <c r="C88" t="s">
        <v>1202</v>
      </c>
      <c r="D88" t="s">
        <v>1183</v>
      </c>
      <c r="E88">
        <v>91.57</v>
      </c>
      <c r="F88" t="s">
        <v>1211</v>
      </c>
      <c r="G88" t="s">
        <v>1329</v>
      </c>
    </row>
    <row r="89" spans="1:7" x14ac:dyDescent="0.55000000000000004">
      <c r="A89">
        <v>948</v>
      </c>
      <c r="B89" t="s">
        <v>1330</v>
      </c>
      <c r="C89" t="s">
        <v>1288</v>
      </c>
      <c r="D89" t="s">
        <v>1183</v>
      </c>
      <c r="E89">
        <v>106.5</v>
      </c>
      <c r="F89" t="s">
        <v>1291</v>
      </c>
      <c r="G89" t="s">
        <v>1330</v>
      </c>
    </row>
    <row r="90" spans="1:7" x14ac:dyDescent="0.55000000000000004">
      <c r="A90">
        <v>949</v>
      </c>
      <c r="B90" t="s">
        <v>1331</v>
      </c>
      <c r="C90" t="s">
        <v>1187</v>
      </c>
      <c r="D90" t="s">
        <v>1183</v>
      </c>
      <c r="E90">
        <v>175.49</v>
      </c>
      <c r="F90" t="s">
        <v>1332</v>
      </c>
      <c r="G90" t="s">
        <v>1331</v>
      </c>
    </row>
    <row r="91" spans="1:7" x14ac:dyDescent="0.55000000000000004">
      <c r="A91">
        <v>950</v>
      </c>
      <c r="B91" t="s">
        <v>1333</v>
      </c>
      <c r="C91" t="s">
        <v>1187</v>
      </c>
      <c r="D91" t="s">
        <v>1183</v>
      </c>
      <c r="E91">
        <v>256.49</v>
      </c>
      <c r="F91" t="s">
        <v>1332</v>
      </c>
      <c r="G91" t="s">
        <v>1333</v>
      </c>
    </row>
    <row r="92" spans="1:7" x14ac:dyDescent="0.55000000000000004">
      <c r="A92">
        <v>951</v>
      </c>
      <c r="B92" t="s">
        <v>1334</v>
      </c>
      <c r="C92" t="s">
        <v>1187</v>
      </c>
      <c r="D92" t="s">
        <v>1183</v>
      </c>
      <c r="E92">
        <v>404.99</v>
      </c>
      <c r="F92" t="s">
        <v>1332</v>
      </c>
      <c r="G92" t="s">
        <v>1334</v>
      </c>
    </row>
    <row r="93" spans="1:7" x14ac:dyDescent="0.55000000000000004">
      <c r="A93">
        <v>952</v>
      </c>
      <c r="B93" t="s">
        <v>1335</v>
      </c>
      <c r="C93" t="s">
        <v>1288</v>
      </c>
      <c r="D93" t="s">
        <v>1183</v>
      </c>
      <c r="E93">
        <v>20.239999999999998</v>
      </c>
      <c r="F93" t="s">
        <v>1336</v>
      </c>
      <c r="G93" t="s">
        <v>1335</v>
      </c>
    </row>
    <row r="94" spans="1:7" x14ac:dyDescent="0.55000000000000004">
      <c r="A94">
        <v>994</v>
      </c>
      <c r="B94" t="s">
        <v>1337</v>
      </c>
      <c r="C94" t="s">
        <v>1202</v>
      </c>
      <c r="D94" t="s">
        <v>1183</v>
      </c>
      <c r="E94">
        <v>53.99</v>
      </c>
      <c r="F94" t="s">
        <v>1338</v>
      </c>
      <c r="G94" t="s">
        <v>1337</v>
      </c>
    </row>
    <row r="95" spans="1:7" x14ac:dyDescent="0.55000000000000004">
      <c r="A95">
        <v>995</v>
      </c>
      <c r="B95" t="s">
        <v>1339</v>
      </c>
      <c r="C95" t="s">
        <v>1202</v>
      </c>
      <c r="D95" t="s">
        <v>1183</v>
      </c>
      <c r="E95">
        <v>101.24</v>
      </c>
      <c r="F95" t="s">
        <v>1338</v>
      </c>
      <c r="G95" t="s">
        <v>1339</v>
      </c>
    </row>
    <row r="96" spans="1:7" x14ac:dyDescent="0.55000000000000004">
      <c r="A96">
        <v>996</v>
      </c>
      <c r="B96" t="s">
        <v>1340</v>
      </c>
      <c r="C96" t="s">
        <v>1202</v>
      </c>
      <c r="D96" t="s">
        <v>1183</v>
      </c>
      <c r="E96">
        <v>121.49</v>
      </c>
      <c r="F96" t="s">
        <v>1338</v>
      </c>
      <c r="G96" t="s">
        <v>1340</v>
      </c>
    </row>
    <row r="97" spans="1:7" x14ac:dyDescent="0.55000000000000004">
      <c r="A97">
        <v>680</v>
      </c>
      <c r="B97" t="s">
        <v>1341</v>
      </c>
      <c r="C97" t="s">
        <v>1187</v>
      </c>
      <c r="D97" t="s">
        <v>1342</v>
      </c>
      <c r="E97">
        <v>1431.5</v>
      </c>
      <c r="F97" t="s">
        <v>1343</v>
      </c>
      <c r="G97" t="s">
        <v>1344</v>
      </c>
    </row>
    <row r="98" spans="1:7" x14ac:dyDescent="0.55000000000000004">
      <c r="A98">
        <v>706</v>
      </c>
      <c r="B98" t="s">
        <v>1345</v>
      </c>
      <c r="C98" t="s">
        <v>1649</v>
      </c>
      <c r="D98" t="s">
        <v>1342</v>
      </c>
      <c r="E98">
        <v>1431.5</v>
      </c>
      <c r="F98" t="s">
        <v>1343</v>
      </c>
      <c r="G98" t="s">
        <v>1344</v>
      </c>
    </row>
    <row r="99" spans="1:7" x14ac:dyDescent="0.55000000000000004">
      <c r="A99">
        <v>710</v>
      </c>
      <c r="B99" t="s">
        <v>1346</v>
      </c>
      <c r="C99" t="s">
        <v>1189</v>
      </c>
      <c r="D99" t="s">
        <v>1347</v>
      </c>
      <c r="E99">
        <v>9.5</v>
      </c>
      <c r="F99" t="s">
        <v>1190</v>
      </c>
      <c r="G99" t="s">
        <v>1191</v>
      </c>
    </row>
    <row r="100" spans="1:7" x14ac:dyDescent="0.55000000000000004">
      <c r="A100">
        <v>713</v>
      </c>
      <c r="B100" t="s">
        <v>1348</v>
      </c>
      <c r="C100" t="s">
        <v>1195</v>
      </c>
      <c r="D100" t="s">
        <v>1349</v>
      </c>
      <c r="E100">
        <v>49.99</v>
      </c>
      <c r="F100" t="s">
        <v>1199</v>
      </c>
      <c r="G100" t="s">
        <v>1200</v>
      </c>
    </row>
    <row r="101" spans="1:7" x14ac:dyDescent="0.55000000000000004">
      <c r="A101">
        <v>715</v>
      </c>
      <c r="B101" t="s">
        <v>1350</v>
      </c>
      <c r="C101" t="s">
        <v>1195</v>
      </c>
      <c r="D101" t="s">
        <v>1347</v>
      </c>
      <c r="E101">
        <v>49.99</v>
      </c>
      <c r="F101" t="s">
        <v>1199</v>
      </c>
      <c r="G101" t="s">
        <v>1200</v>
      </c>
    </row>
    <row r="102" spans="1:7" x14ac:dyDescent="0.55000000000000004">
      <c r="A102">
        <v>716</v>
      </c>
      <c r="B102" t="s">
        <v>1351</v>
      </c>
      <c r="C102" t="s">
        <v>1195</v>
      </c>
      <c r="D102" t="s">
        <v>1352</v>
      </c>
      <c r="E102">
        <v>49.99</v>
      </c>
      <c r="F102" t="s">
        <v>1199</v>
      </c>
      <c r="G102" t="s">
        <v>1200</v>
      </c>
    </row>
    <row r="103" spans="1:7" x14ac:dyDescent="0.55000000000000004">
      <c r="A103">
        <v>717</v>
      </c>
      <c r="B103" t="s">
        <v>1353</v>
      </c>
      <c r="C103" t="s">
        <v>1649</v>
      </c>
      <c r="D103" t="s">
        <v>1354</v>
      </c>
      <c r="E103">
        <v>1431.5</v>
      </c>
      <c r="F103" t="s">
        <v>1343</v>
      </c>
      <c r="G103" t="s">
        <v>1344</v>
      </c>
    </row>
    <row r="104" spans="1:7" x14ac:dyDescent="0.55000000000000004">
      <c r="A104">
        <v>718</v>
      </c>
      <c r="B104" t="s">
        <v>1355</v>
      </c>
      <c r="C104" t="s">
        <v>1649</v>
      </c>
      <c r="D104" t="s">
        <v>1356</v>
      </c>
      <c r="E104">
        <v>1431.5</v>
      </c>
      <c r="F104" t="s">
        <v>1343</v>
      </c>
      <c r="G104" t="s">
        <v>1344</v>
      </c>
    </row>
    <row r="105" spans="1:7" x14ac:dyDescent="0.55000000000000004">
      <c r="A105">
        <v>719</v>
      </c>
      <c r="B105" t="s">
        <v>1357</v>
      </c>
      <c r="C105" t="s">
        <v>1649</v>
      </c>
      <c r="D105" t="s">
        <v>1358</v>
      </c>
      <c r="E105">
        <v>1431.5</v>
      </c>
      <c r="F105" t="s">
        <v>1343</v>
      </c>
      <c r="G105" t="s">
        <v>1344</v>
      </c>
    </row>
    <row r="106" spans="1:7" x14ac:dyDescent="0.55000000000000004">
      <c r="A106">
        <v>720</v>
      </c>
      <c r="B106" t="s">
        <v>1359</v>
      </c>
      <c r="C106" t="s">
        <v>1649</v>
      </c>
      <c r="D106" t="s">
        <v>1360</v>
      </c>
      <c r="E106">
        <v>1431.5</v>
      </c>
      <c r="F106" t="s">
        <v>1343</v>
      </c>
      <c r="G106" t="s">
        <v>1344</v>
      </c>
    </row>
    <row r="107" spans="1:7" x14ac:dyDescent="0.55000000000000004">
      <c r="A107">
        <v>721</v>
      </c>
      <c r="B107" t="s">
        <v>1361</v>
      </c>
      <c r="C107" t="s">
        <v>1649</v>
      </c>
      <c r="D107" t="s">
        <v>1362</v>
      </c>
      <c r="E107">
        <v>1431.5</v>
      </c>
      <c r="F107" t="s">
        <v>1343</v>
      </c>
      <c r="G107" t="s">
        <v>1344</v>
      </c>
    </row>
    <row r="108" spans="1:7" x14ac:dyDescent="0.55000000000000004">
      <c r="A108">
        <v>722</v>
      </c>
      <c r="B108" t="s">
        <v>1363</v>
      </c>
      <c r="C108" t="s">
        <v>1187</v>
      </c>
      <c r="D108" t="s">
        <v>1342</v>
      </c>
      <c r="E108">
        <v>337.22</v>
      </c>
      <c r="F108" t="s">
        <v>1343</v>
      </c>
      <c r="G108" t="s">
        <v>1364</v>
      </c>
    </row>
    <row r="109" spans="1:7" x14ac:dyDescent="0.55000000000000004">
      <c r="A109">
        <v>723</v>
      </c>
      <c r="B109" t="s">
        <v>1365</v>
      </c>
      <c r="C109" t="s">
        <v>1187</v>
      </c>
      <c r="D109" t="s">
        <v>1366</v>
      </c>
      <c r="E109">
        <v>337.22</v>
      </c>
      <c r="F109" t="s">
        <v>1343</v>
      </c>
      <c r="G109" t="s">
        <v>1364</v>
      </c>
    </row>
    <row r="110" spans="1:7" x14ac:dyDescent="0.55000000000000004">
      <c r="A110">
        <v>724</v>
      </c>
      <c r="B110" t="s">
        <v>1367</v>
      </c>
      <c r="C110" t="s">
        <v>1187</v>
      </c>
      <c r="D110" t="s">
        <v>1354</v>
      </c>
      <c r="E110">
        <v>337.22</v>
      </c>
      <c r="F110" t="s">
        <v>1343</v>
      </c>
      <c r="G110" t="s">
        <v>1364</v>
      </c>
    </row>
    <row r="111" spans="1:7" x14ac:dyDescent="0.55000000000000004">
      <c r="A111">
        <v>725</v>
      </c>
      <c r="B111" t="s">
        <v>1368</v>
      </c>
      <c r="C111" t="s">
        <v>1649</v>
      </c>
      <c r="D111" t="s">
        <v>1356</v>
      </c>
      <c r="E111">
        <v>337.22</v>
      </c>
      <c r="F111" t="s">
        <v>1343</v>
      </c>
      <c r="G111" t="s">
        <v>1364</v>
      </c>
    </row>
    <row r="112" spans="1:7" x14ac:dyDescent="0.55000000000000004">
      <c r="A112">
        <v>726</v>
      </c>
      <c r="B112" t="s">
        <v>1369</v>
      </c>
      <c r="C112" t="s">
        <v>1649</v>
      </c>
      <c r="D112" t="s">
        <v>1358</v>
      </c>
      <c r="E112">
        <v>337.22</v>
      </c>
      <c r="F112" t="s">
        <v>1343</v>
      </c>
      <c r="G112" t="s">
        <v>1364</v>
      </c>
    </row>
    <row r="113" spans="1:7" x14ac:dyDescent="0.55000000000000004">
      <c r="A113">
        <v>727</v>
      </c>
      <c r="B113" t="s">
        <v>1370</v>
      </c>
      <c r="C113" t="s">
        <v>1649</v>
      </c>
      <c r="D113" t="s">
        <v>1360</v>
      </c>
      <c r="E113">
        <v>337.22</v>
      </c>
      <c r="F113" t="s">
        <v>1343</v>
      </c>
      <c r="G113" t="s">
        <v>1364</v>
      </c>
    </row>
    <row r="114" spans="1:7" x14ac:dyDescent="0.55000000000000004">
      <c r="A114">
        <v>728</v>
      </c>
      <c r="B114" t="s">
        <v>1371</v>
      </c>
      <c r="C114" t="s">
        <v>1649</v>
      </c>
      <c r="D114" t="s">
        <v>1342</v>
      </c>
      <c r="E114">
        <v>337.22</v>
      </c>
      <c r="F114" t="s">
        <v>1343</v>
      </c>
      <c r="G114" t="s">
        <v>1364</v>
      </c>
    </row>
    <row r="115" spans="1:7" x14ac:dyDescent="0.55000000000000004">
      <c r="A115">
        <v>729</v>
      </c>
      <c r="B115" t="s">
        <v>1372</v>
      </c>
      <c r="C115" t="s">
        <v>1649</v>
      </c>
      <c r="D115" t="s">
        <v>1366</v>
      </c>
      <c r="E115">
        <v>337.22</v>
      </c>
      <c r="F115" t="s">
        <v>1343</v>
      </c>
      <c r="G115" t="s">
        <v>1364</v>
      </c>
    </row>
    <row r="116" spans="1:7" x14ac:dyDescent="0.55000000000000004">
      <c r="A116">
        <v>730</v>
      </c>
      <c r="B116" t="s">
        <v>1373</v>
      </c>
      <c r="C116" t="s">
        <v>1649</v>
      </c>
      <c r="D116" t="s">
        <v>1354</v>
      </c>
      <c r="E116">
        <v>337.22</v>
      </c>
      <c r="F116" t="s">
        <v>1343</v>
      </c>
      <c r="G116" t="s">
        <v>1364</v>
      </c>
    </row>
    <row r="117" spans="1:7" x14ac:dyDescent="0.55000000000000004">
      <c r="A117">
        <v>731</v>
      </c>
      <c r="B117" t="s">
        <v>1374</v>
      </c>
      <c r="C117" t="s">
        <v>1649</v>
      </c>
      <c r="D117" t="s">
        <v>1356</v>
      </c>
      <c r="E117">
        <v>594.83000000000004</v>
      </c>
      <c r="F117" t="s">
        <v>1343</v>
      </c>
      <c r="G117" t="s">
        <v>1375</v>
      </c>
    </row>
    <row r="118" spans="1:7" x14ac:dyDescent="0.55000000000000004">
      <c r="A118">
        <v>732</v>
      </c>
      <c r="B118" t="s">
        <v>1376</v>
      </c>
      <c r="C118" t="s">
        <v>1649</v>
      </c>
      <c r="D118" t="s">
        <v>1358</v>
      </c>
      <c r="E118">
        <v>594.83000000000004</v>
      </c>
      <c r="F118" t="s">
        <v>1343</v>
      </c>
      <c r="G118" t="s">
        <v>1375</v>
      </c>
    </row>
    <row r="119" spans="1:7" x14ac:dyDescent="0.55000000000000004">
      <c r="A119">
        <v>733</v>
      </c>
      <c r="B119" t="s">
        <v>1377</v>
      </c>
      <c r="C119" t="s">
        <v>1649</v>
      </c>
      <c r="D119" t="s">
        <v>1360</v>
      </c>
      <c r="E119">
        <v>594.83000000000004</v>
      </c>
      <c r="F119" t="s">
        <v>1343</v>
      </c>
      <c r="G119" t="s">
        <v>1375</v>
      </c>
    </row>
    <row r="120" spans="1:7" x14ac:dyDescent="0.55000000000000004">
      <c r="A120">
        <v>734</v>
      </c>
      <c r="B120" t="s">
        <v>1378</v>
      </c>
      <c r="C120" t="s">
        <v>1649</v>
      </c>
      <c r="D120" t="s">
        <v>1342</v>
      </c>
      <c r="E120">
        <v>594.83000000000004</v>
      </c>
      <c r="F120" t="s">
        <v>1343</v>
      </c>
      <c r="G120" t="s">
        <v>1375</v>
      </c>
    </row>
    <row r="121" spans="1:7" x14ac:dyDescent="0.55000000000000004">
      <c r="A121">
        <v>735</v>
      </c>
      <c r="B121" t="s">
        <v>1379</v>
      </c>
      <c r="C121" t="s">
        <v>1649</v>
      </c>
      <c r="D121" t="s">
        <v>1366</v>
      </c>
      <c r="E121">
        <v>594.83000000000004</v>
      </c>
      <c r="F121" t="s">
        <v>1343</v>
      </c>
      <c r="G121" t="s">
        <v>1375</v>
      </c>
    </row>
    <row r="122" spans="1:7" x14ac:dyDescent="0.55000000000000004">
      <c r="A122">
        <v>736</v>
      </c>
      <c r="B122" t="s">
        <v>1380</v>
      </c>
      <c r="C122" t="s">
        <v>1187</v>
      </c>
      <c r="D122" t="s">
        <v>1356</v>
      </c>
      <c r="E122">
        <v>337.22</v>
      </c>
      <c r="F122" t="s">
        <v>1343</v>
      </c>
      <c r="G122" t="s">
        <v>1364</v>
      </c>
    </row>
    <row r="123" spans="1:7" x14ac:dyDescent="0.55000000000000004">
      <c r="A123">
        <v>737</v>
      </c>
      <c r="B123" t="s">
        <v>1381</v>
      </c>
      <c r="C123" t="s">
        <v>1187</v>
      </c>
      <c r="D123" t="s">
        <v>1358</v>
      </c>
      <c r="E123">
        <v>337.22</v>
      </c>
      <c r="F123" t="s">
        <v>1343</v>
      </c>
      <c r="G123" t="s">
        <v>1364</v>
      </c>
    </row>
    <row r="124" spans="1:7" x14ac:dyDescent="0.55000000000000004">
      <c r="A124">
        <v>738</v>
      </c>
      <c r="B124" t="s">
        <v>1382</v>
      </c>
      <c r="C124" t="s">
        <v>1187</v>
      </c>
      <c r="D124" t="s">
        <v>1360</v>
      </c>
      <c r="E124">
        <v>337.22</v>
      </c>
      <c r="F124" t="s">
        <v>1343</v>
      </c>
      <c r="G124" t="s">
        <v>1364</v>
      </c>
    </row>
    <row r="125" spans="1:7" x14ac:dyDescent="0.55000000000000004">
      <c r="A125">
        <v>739</v>
      </c>
      <c r="B125" t="s">
        <v>1383</v>
      </c>
      <c r="C125" t="s">
        <v>1288</v>
      </c>
      <c r="D125" t="s">
        <v>1384</v>
      </c>
      <c r="E125">
        <v>1364.5</v>
      </c>
      <c r="F125" t="s">
        <v>1385</v>
      </c>
      <c r="G125" t="s">
        <v>1386</v>
      </c>
    </row>
    <row r="126" spans="1:7" x14ac:dyDescent="0.55000000000000004">
      <c r="A126">
        <v>740</v>
      </c>
      <c r="B126" t="s">
        <v>1387</v>
      </c>
      <c r="C126" t="s">
        <v>1288</v>
      </c>
      <c r="D126" t="s">
        <v>1356</v>
      </c>
      <c r="E126">
        <v>1364.5</v>
      </c>
      <c r="F126" t="s">
        <v>1385</v>
      </c>
      <c r="G126" t="s">
        <v>1386</v>
      </c>
    </row>
    <row r="127" spans="1:7" x14ac:dyDescent="0.55000000000000004">
      <c r="A127">
        <v>741</v>
      </c>
      <c r="B127" t="s">
        <v>1388</v>
      </c>
      <c r="C127" t="s">
        <v>1288</v>
      </c>
      <c r="D127" t="s">
        <v>1358</v>
      </c>
      <c r="E127">
        <v>1364.5</v>
      </c>
      <c r="F127" t="s">
        <v>1385</v>
      </c>
      <c r="G127" t="s">
        <v>1386</v>
      </c>
    </row>
    <row r="128" spans="1:7" x14ac:dyDescent="0.55000000000000004">
      <c r="A128">
        <v>742</v>
      </c>
      <c r="B128" t="s">
        <v>1389</v>
      </c>
      <c r="C128" t="s">
        <v>1288</v>
      </c>
      <c r="D128" t="s">
        <v>1390</v>
      </c>
      <c r="E128">
        <v>1364.5</v>
      </c>
      <c r="F128" t="s">
        <v>1385</v>
      </c>
      <c r="G128" t="s">
        <v>1386</v>
      </c>
    </row>
    <row r="129" spans="1:7" x14ac:dyDescent="0.55000000000000004">
      <c r="A129">
        <v>743</v>
      </c>
      <c r="B129" t="s">
        <v>1391</v>
      </c>
      <c r="C129" t="s">
        <v>1187</v>
      </c>
      <c r="D129" t="s">
        <v>1384</v>
      </c>
      <c r="E129">
        <v>1349.6</v>
      </c>
      <c r="F129" t="s">
        <v>1385</v>
      </c>
      <c r="G129" t="s">
        <v>1386</v>
      </c>
    </row>
    <row r="130" spans="1:7" x14ac:dyDescent="0.55000000000000004">
      <c r="A130">
        <v>744</v>
      </c>
      <c r="B130" t="s">
        <v>1392</v>
      </c>
      <c r="C130" t="s">
        <v>1187</v>
      </c>
      <c r="D130" t="s">
        <v>1356</v>
      </c>
      <c r="E130">
        <v>1349.6</v>
      </c>
      <c r="F130" t="s">
        <v>1385</v>
      </c>
      <c r="G130" t="s">
        <v>1386</v>
      </c>
    </row>
    <row r="131" spans="1:7" x14ac:dyDescent="0.55000000000000004">
      <c r="A131">
        <v>745</v>
      </c>
      <c r="B131" t="s">
        <v>1393</v>
      </c>
      <c r="C131" t="s">
        <v>1187</v>
      </c>
      <c r="D131" t="s">
        <v>1358</v>
      </c>
      <c r="E131">
        <v>1349.6</v>
      </c>
      <c r="F131" t="s">
        <v>1385</v>
      </c>
      <c r="G131" t="s">
        <v>1386</v>
      </c>
    </row>
    <row r="132" spans="1:7" x14ac:dyDescent="0.55000000000000004">
      <c r="A132">
        <v>746</v>
      </c>
      <c r="B132" t="s">
        <v>1394</v>
      </c>
      <c r="C132" t="s">
        <v>1187</v>
      </c>
      <c r="D132" t="s">
        <v>1390</v>
      </c>
      <c r="E132">
        <v>1349.6</v>
      </c>
      <c r="F132" t="s">
        <v>1385</v>
      </c>
      <c r="G132" t="s">
        <v>1386</v>
      </c>
    </row>
    <row r="133" spans="1:7" x14ac:dyDescent="0.55000000000000004">
      <c r="A133">
        <v>747</v>
      </c>
      <c r="B133" t="s">
        <v>1395</v>
      </c>
      <c r="C133" t="s">
        <v>1187</v>
      </c>
      <c r="D133" t="s">
        <v>1396</v>
      </c>
      <c r="E133">
        <v>1349.6</v>
      </c>
      <c r="F133" t="s">
        <v>1385</v>
      </c>
      <c r="G133" t="s">
        <v>1386</v>
      </c>
    </row>
    <row r="134" spans="1:7" x14ac:dyDescent="0.55000000000000004">
      <c r="A134">
        <v>748</v>
      </c>
      <c r="B134" t="s">
        <v>1397</v>
      </c>
      <c r="C134" t="s">
        <v>1288</v>
      </c>
      <c r="D134" t="s">
        <v>1396</v>
      </c>
      <c r="E134">
        <v>1364.5</v>
      </c>
      <c r="F134" t="s">
        <v>1385</v>
      </c>
      <c r="G134" t="s">
        <v>1386</v>
      </c>
    </row>
    <row r="135" spans="1:7" x14ac:dyDescent="0.55000000000000004">
      <c r="A135">
        <v>749</v>
      </c>
      <c r="B135" t="s">
        <v>1398</v>
      </c>
      <c r="C135" t="s">
        <v>1649</v>
      </c>
      <c r="D135" t="s">
        <v>1354</v>
      </c>
      <c r="E135">
        <v>3578.27</v>
      </c>
      <c r="F135" t="s">
        <v>1399</v>
      </c>
      <c r="G135" t="s">
        <v>1400</v>
      </c>
    </row>
    <row r="136" spans="1:7" x14ac:dyDescent="0.55000000000000004">
      <c r="A136">
        <v>750</v>
      </c>
      <c r="B136" t="s">
        <v>1401</v>
      </c>
      <c r="C136" t="s">
        <v>1649</v>
      </c>
      <c r="D136" t="s">
        <v>1356</v>
      </c>
      <c r="E136">
        <v>3578.27</v>
      </c>
      <c r="F136" t="s">
        <v>1399</v>
      </c>
      <c r="G136" t="s">
        <v>1400</v>
      </c>
    </row>
    <row r="137" spans="1:7" x14ac:dyDescent="0.55000000000000004">
      <c r="A137">
        <v>751</v>
      </c>
      <c r="B137" t="s">
        <v>1402</v>
      </c>
      <c r="C137" t="s">
        <v>1649</v>
      </c>
      <c r="D137" t="s">
        <v>1358</v>
      </c>
      <c r="E137">
        <v>3578.27</v>
      </c>
      <c r="F137" t="s">
        <v>1399</v>
      </c>
      <c r="G137" t="s">
        <v>1400</v>
      </c>
    </row>
    <row r="138" spans="1:7" x14ac:dyDescent="0.55000000000000004">
      <c r="A138">
        <v>752</v>
      </c>
      <c r="B138" t="s">
        <v>1403</v>
      </c>
      <c r="C138" t="s">
        <v>1649</v>
      </c>
      <c r="D138" t="s">
        <v>1360</v>
      </c>
      <c r="E138">
        <v>3578.27</v>
      </c>
      <c r="F138" t="s">
        <v>1399</v>
      </c>
      <c r="G138" t="s">
        <v>1400</v>
      </c>
    </row>
    <row r="139" spans="1:7" x14ac:dyDescent="0.55000000000000004">
      <c r="A139">
        <v>753</v>
      </c>
      <c r="B139" t="s">
        <v>1404</v>
      </c>
      <c r="C139" t="s">
        <v>1649</v>
      </c>
      <c r="D139" t="s">
        <v>1362</v>
      </c>
      <c r="E139">
        <v>3578.27</v>
      </c>
      <c r="F139" t="s">
        <v>1399</v>
      </c>
      <c r="G139" t="s">
        <v>1400</v>
      </c>
    </row>
    <row r="140" spans="1:7" x14ac:dyDescent="0.55000000000000004">
      <c r="A140">
        <v>754</v>
      </c>
      <c r="B140" t="s">
        <v>1405</v>
      </c>
      <c r="C140" t="s">
        <v>1649</v>
      </c>
      <c r="D140" t="s">
        <v>1342</v>
      </c>
      <c r="E140">
        <v>1457.99</v>
      </c>
      <c r="F140" t="s">
        <v>1399</v>
      </c>
      <c r="G140" t="s">
        <v>1406</v>
      </c>
    </row>
    <row r="141" spans="1:7" x14ac:dyDescent="0.55000000000000004">
      <c r="A141">
        <v>755</v>
      </c>
      <c r="B141" t="s">
        <v>1407</v>
      </c>
      <c r="C141" t="s">
        <v>1649</v>
      </c>
      <c r="D141" t="s">
        <v>1366</v>
      </c>
      <c r="E141">
        <v>1457.99</v>
      </c>
      <c r="F141" t="s">
        <v>1399</v>
      </c>
      <c r="G141" t="s">
        <v>1406</v>
      </c>
    </row>
    <row r="142" spans="1:7" x14ac:dyDescent="0.55000000000000004">
      <c r="A142">
        <v>756</v>
      </c>
      <c r="B142" t="s">
        <v>1408</v>
      </c>
      <c r="C142" t="s">
        <v>1649</v>
      </c>
      <c r="D142" t="s">
        <v>1356</v>
      </c>
      <c r="E142">
        <v>1457.99</v>
      </c>
      <c r="F142" t="s">
        <v>1399</v>
      </c>
      <c r="G142" t="s">
        <v>1406</v>
      </c>
    </row>
    <row r="143" spans="1:7" x14ac:dyDescent="0.55000000000000004">
      <c r="A143">
        <v>757</v>
      </c>
      <c r="B143" t="s">
        <v>1409</v>
      </c>
      <c r="C143" t="s">
        <v>1649</v>
      </c>
      <c r="D143" t="s">
        <v>1358</v>
      </c>
      <c r="E143">
        <v>1457.99</v>
      </c>
      <c r="F143" t="s">
        <v>1399</v>
      </c>
      <c r="G143" t="s">
        <v>1406</v>
      </c>
    </row>
    <row r="144" spans="1:7" x14ac:dyDescent="0.55000000000000004">
      <c r="A144">
        <v>758</v>
      </c>
      <c r="B144" t="s">
        <v>1410</v>
      </c>
      <c r="C144" t="s">
        <v>1649</v>
      </c>
      <c r="D144" t="s">
        <v>1360</v>
      </c>
      <c r="E144">
        <v>1457.99</v>
      </c>
      <c r="F144" t="s">
        <v>1399</v>
      </c>
      <c r="G144" t="s">
        <v>1406</v>
      </c>
    </row>
    <row r="145" spans="1:7" x14ac:dyDescent="0.55000000000000004">
      <c r="A145">
        <v>759</v>
      </c>
      <c r="B145" t="s">
        <v>1411</v>
      </c>
      <c r="C145" t="s">
        <v>1649</v>
      </c>
      <c r="D145" t="s">
        <v>1342</v>
      </c>
      <c r="E145">
        <v>782.99</v>
      </c>
      <c r="F145" t="s">
        <v>1399</v>
      </c>
      <c r="G145" t="s">
        <v>1412</v>
      </c>
    </row>
    <row r="146" spans="1:7" x14ac:dyDescent="0.55000000000000004">
      <c r="A146">
        <v>760</v>
      </c>
      <c r="B146" t="s">
        <v>1413</v>
      </c>
      <c r="C146" t="s">
        <v>1649</v>
      </c>
      <c r="D146" t="s">
        <v>1366</v>
      </c>
      <c r="E146">
        <v>782.99</v>
      </c>
      <c r="F146" t="s">
        <v>1399</v>
      </c>
      <c r="G146" t="s">
        <v>1412</v>
      </c>
    </row>
    <row r="147" spans="1:7" x14ac:dyDescent="0.55000000000000004">
      <c r="A147">
        <v>761</v>
      </c>
      <c r="B147" t="s">
        <v>1414</v>
      </c>
      <c r="C147" t="s">
        <v>1649</v>
      </c>
      <c r="D147" t="s">
        <v>1354</v>
      </c>
      <c r="E147">
        <v>782.99</v>
      </c>
      <c r="F147" t="s">
        <v>1399</v>
      </c>
      <c r="G147" t="s">
        <v>1412</v>
      </c>
    </row>
    <row r="148" spans="1:7" x14ac:dyDescent="0.55000000000000004">
      <c r="A148">
        <v>762</v>
      </c>
      <c r="B148" t="s">
        <v>1415</v>
      </c>
      <c r="C148" t="s">
        <v>1649</v>
      </c>
      <c r="D148" t="s">
        <v>1356</v>
      </c>
      <c r="E148">
        <v>782.99</v>
      </c>
      <c r="F148" t="s">
        <v>1399</v>
      </c>
      <c r="G148" t="s">
        <v>1412</v>
      </c>
    </row>
    <row r="149" spans="1:7" x14ac:dyDescent="0.55000000000000004">
      <c r="A149">
        <v>763</v>
      </c>
      <c r="B149" t="s">
        <v>1416</v>
      </c>
      <c r="C149" t="s">
        <v>1649</v>
      </c>
      <c r="D149" t="s">
        <v>1358</v>
      </c>
      <c r="E149">
        <v>782.99</v>
      </c>
      <c r="F149" t="s">
        <v>1399</v>
      </c>
      <c r="G149" t="s">
        <v>1412</v>
      </c>
    </row>
    <row r="150" spans="1:7" x14ac:dyDescent="0.55000000000000004">
      <c r="A150">
        <v>764</v>
      </c>
      <c r="B150" t="s">
        <v>1417</v>
      </c>
      <c r="C150" t="s">
        <v>1649</v>
      </c>
      <c r="D150" t="s">
        <v>1360</v>
      </c>
      <c r="E150">
        <v>782.99</v>
      </c>
      <c r="F150" t="s">
        <v>1399</v>
      </c>
      <c r="G150" t="s">
        <v>1412</v>
      </c>
    </row>
    <row r="151" spans="1:7" x14ac:dyDescent="0.55000000000000004">
      <c r="A151">
        <v>765</v>
      </c>
      <c r="B151" t="s">
        <v>1418</v>
      </c>
      <c r="C151" t="s">
        <v>1187</v>
      </c>
      <c r="D151" t="s">
        <v>1342</v>
      </c>
      <c r="E151">
        <v>782.99</v>
      </c>
      <c r="F151" t="s">
        <v>1399</v>
      </c>
      <c r="G151" t="s">
        <v>1412</v>
      </c>
    </row>
    <row r="152" spans="1:7" x14ac:dyDescent="0.55000000000000004">
      <c r="A152">
        <v>766</v>
      </c>
      <c r="B152" t="s">
        <v>1419</v>
      </c>
      <c r="C152" t="s">
        <v>1187</v>
      </c>
      <c r="D152" t="s">
        <v>1366</v>
      </c>
      <c r="E152">
        <v>782.99</v>
      </c>
      <c r="F152" t="s">
        <v>1399</v>
      </c>
      <c r="G152" t="s">
        <v>1412</v>
      </c>
    </row>
    <row r="153" spans="1:7" x14ac:dyDescent="0.55000000000000004">
      <c r="A153">
        <v>767</v>
      </c>
      <c r="B153" t="s">
        <v>1420</v>
      </c>
      <c r="C153" t="s">
        <v>1187</v>
      </c>
      <c r="D153" t="s">
        <v>1354</v>
      </c>
      <c r="E153">
        <v>782.99</v>
      </c>
      <c r="F153" t="s">
        <v>1399</v>
      </c>
      <c r="G153" t="s">
        <v>1412</v>
      </c>
    </row>
    <row r="154" spans="1:7" x14ac:dyDescent="0.55000000000000004">
      <c r="A154">
        <v>768</v>
      </c>
      <c r="B154" t="s">
        <v>1421</v>
      </c>
      <c r="C154" t="s">
        <v>1187</v>
      </c>
      <c r="D154" t="s">
        <v>1356</v>
      </c>
      <c r="E154">
        <v>782.99</v>
      </c>
      <c r="F154" t="s">
        <v>1399</v>
      </c>
      <c r="G154" t="s">
        <v>1412</v>
      </c>
    </row>
    <row r="155" spans="1:7" x14ac:dyDescent="0.55000000000000004">
      <c r="A155">
        <v>769</v>
      </c>
      <c r="B155" t="s">
        <v>1422</v>
      </c>
      <c r="C155" t="s">
        <v>1187</v>
      </c>
      <c r="D155" t="s">
        <v>1358</v>
      </c>
      <c r="E155">
        <v>782.99</v>
      </c>
      <c r="F155" t="s">
        <v>1399</v>
      </c>
      <c r="G155" t="s">
        <v>1412</v>
      </c>
    </row>
    <row r="156" spans="1:7" x14ac:dyDescent="0.55000000000000004">
      <c r="A156">
        <v>770</v>
      </c>
      <c r="B156" t="s">
        <v>1423</v>
      </c>
      <c r="C156" t="s">
        <v>1187</v>
      </c>
      <c r="D156" t="s">
        <v>1360</v>
      </c>
      <c r="E156">
        <v>782.99</v>
      </c>
      <c r="F156" t="s">
        <v>1399</v>
      </c>
      <c r="G156" t="s">
        <v>1412</v>
      </c>
    </row>
    <row r="157" spans="1:7" x14ac:dyDescent="0.55000000000000004">
      <c r="A157">
        <v>771</v>
      </c>
      <c r="B157" t="s">
        <v>1424</v>
      </c>
      <c r="C157" t="s">
        <v>1288</v>
      </c>
      <c r="D157" t="s">
        <v>1396</v>
      </c>
      <c r="E157">
        <v>3399.99</v>
      </c>
      <c r="F157" t="s">
        <v>1425</v>
      </c>
      <c r="G157" t="s">
        <v>1426</v>
      </c>
    </row>
    <row r="158" spans="1:7" x14ac:dyDescent="0.55000000000000004">
      <c r="A158">
        <v>772</v>
      </c>
      <c r="B158" t="s">
        <v>1427</v>
      </c>
      <c r="C158" t="s">
        <v>1288</v>
      </c>
      <c r="D158" t="s">
        <v>1384</v>
      </c>
      <c r="E158">
        <v>3399.99</v>
      </c>
      <c r="F158" t="s">
        <v>1425</v>
      </c>
      <c r="G158" t="s">
        <v>1426</v>
      </c>
    </row>
    <row r="159" spans="1:7" x14ac:dyDescent="0.55000000000000004">
      <c r="A159">
        <v>773</v>
      </c>
      <c r="B159" t="s">
        <v>1428</v>
      </c>
      <c r="C159" t="s">
        <v>1288</v>
      </c>
      <c r="D159" t="s">
        <v>1356</v>
      </c>
      <c r="E159">
        <v>3399.99</v>
      </c>
      <c r="F159" t="s">
        <v>1425</v>
      </c>
      <c r="G159" t="s">
        <v>1426</v>
      </c>
    </row>
    <row r="160" spans="1:7" x14ac:dyDescent="0.55000000000000004">
      <c r="A160">
        <v>774</v>
      </c>
      <c r="B160" t="s">
        <v>1429</v>
      </c>
      <c r="C160" t="s">
        <v>1288</v>
      </c>
      <c r="D160" t="s">
        <v>1358</v>
      </c>
      <c r="E160">
        <v>3399.99</v>
      </c>
      <c r="F160" t="s">
        <v>1425</v>
      </c>
      <c r="G160" t="s">
        <v>1426</v>
      </c>
    </row>
    <row r="161" spans="1:7" x14ac:dyDescent="0.55000000000000004">
      <c r="A161">
        <v>775</v>
      </c>
      <c r="B161" t="s">
        <v>1430</v>
      </c>
      <c r="C161" t="s">
        <v>1187</v>
      </c>
      <c r="D161" t="s">
        <v>1396</v>
      </c>
      <c r="E161">
        <v>3374.99</v>
      </c>
      <c r="F161" t="s">
        <v>1425</v>
      </c>
      <c r="G161" t="s">
        <v>1426</v>
      </c>
    </row>
    <row r="162" spans="1:7" x14ac:dyDescent="0.55000000000000004">
      <c r="A162">
        <v>776</v>
      </c>
      <c r="B162" t="s">
        <v>1431</v>
      </c>
      <c r="C162" t="s">
        <v>1187</v>
      </c>
      <c r="D162" t="s">
        <v>1384</v>
      </c>
      <c r="E162">
        <v>3374.99</v>
      </c>
      <c r="F162" t="s">
        <v>1425</v>
      </c>
      <c r="G162" t="s">
        <v>1426</v>
      </c>
    </row>
    <row r="163" spans="1:7" x14ac:dyDescent="0.55000000000000004">
      <c r="A163">
        <v>777</v>
      </c>
      <c r="B163" t="s">
        <v>1432</v>
      </c>
      <c r="C163" t="s">
        <v>1187</v>
      </c>
      <c r="D163" t="s">
        <v>1356</v>
      </c>
      <c r="E163">
        <v>3374.99</v>
      </c>
      <c r="F163" t="s">
        <v>1425</v>
      </c>
      <c r="G163" t="s">
        <v>1426</v>
      </c>
    </row>
    <row r="164" spans="1:7" x14ac:dyDescent="0.55000000000000004">
      <c r="A164">
        <v>778</v>
      </c>
      <c r="B164" t="s">
        <v>1433</v>
      </c>
      <c r="C164" t="s">
        <v>1187</v>
      </c>
      <c r="D164" t="s">
        <v>1358</v>
      </c>
      <c r="E164">
        <v>3374.99</v>
      </c>
      <c r="F164" t="s">
        <v>1425</v>
      </c>
      <c r="G164" t="s">
        <v>1426</v>
      </c>
    </row>
    <row r="165" spans="1:7" x14ac:dyDescent="0.55000000000000004">
      <c r="A165">
        <v>779</v>
      </c>
      <c r="B165" t="s">
        <v>1434</v>
      </c>
      <c r="C165" t="s">
        <v>1288</v>
      </c>
      <c r="D165" t="s">
        <v>1396</v>
      </c>
      <c r="E165">
        <v>2319.9899999999998</v>
      </c>
      <c r="F165" t="s">
        <v>1425</v>
      </c>
      <c r="G165" t="s">
        <v>1435</v>
      </c>
    </row>
    <row r="166" spans="1:7" x14ac:dyDescent="0.55000000000000004">
      <c r="A166">
        <v>780</v>
      </c>
      <c r="B166" t="s">
        <v>1436</v>
      </c>
      <c r="C166" t="s">
        <v>1288</v>
      </c>
      <c r="D166" t="s">
        <v>1384</v>
      </c>
      <c r="E166">
        <v>2319.9899999999998</v>
      </c>
      <c r="F166" t="s">
        <v>1425</v>
      </c>
      <c r="G166" t="s">
        <v>1435</v>
      </c>
    </row>
    <row r="167" spans="1:7" x14ac:dyDescent="0.55000000000000004">
      <c r="A167">
        <v>781</v>
      </c>
      <c r="B167" t="s">
        <v>1437</v>
      </c>
      <c r="C167" t="s">
        <v>1288</v>
      </c>
      <c r="D167" t="s">
        <v>1390</v>
      </c>
      <c r="E167">
        <v>2319.9899999999998</v>
      </c>
      <c r="F167" t="s">
        <v>1425</v>
      </c>
      <c r="G167" t="s">
        <v>1435</v>
      </c>
    </row>
    <row r="168" spans="1:7" x14ac:dyDescent="0.55000000000000004">
      <c r="A168">
        <v>782</v>
      </c>
      <c r="B168" t="s">
        <v>1438</v>
      </c>
      <c r="C168" t="s">
        <v>1187</v>
      </c>
      <c r="D168" t="s">
        <v>1396</v>
      </c>
      <c r="E168">
        <v>2294.9899999999998</v>
      </c>
      <c r="F168" t="s">
        <v>1425</v>
      </c>
      <c r="G168" t="s">
        <v>1435</v>
      </c>
    </row>
    <row r="169" spans="1:7" x14ac:dyDescent="0.55000000000000004">
      <c r="A169">
        <v>783</v>
      </c>
      <c r="B169" t="s">
        <v>1439</v>
      </c>
      <c r="C169" t="s">
        <v>1187</v>
      </c>
      <c r="D169" t="s">
        <v>1384</v>
      </c>
      <c r="E169">
        <v>2294.9899999999998</v>
      </c>
      <c r="F169" t="s">
        <v>1425</v>
      </c>
      <c r="G169" t="s">
        <v>1435</v>
      </c>
    </row>
    <row r="170" spans="1:7" x14ac:dyDescent="0.55000000000000004">
      <c r="A170">
        <v>784</v>
      </c>
      <c r="B170" t="s">
        <v>1440</v>
      </c>
      <c r="C170" t="s">
        <v>1187</v>
      </c>
      <c r="D170" t="s">
        <v>1390</v>
      </c>
      <c r="E170">
        <v>2294.9899999999998</v>
      </c>
      <c r="F170" t="s">
        <v>1425</v>
      </c>
      <c r="G170" t="s">
        <v>1435</v>
      </c>
    </row>
    <row r="171" spans="1:7" x14ac:dyDescent="0.55000000000000004">
      <c r="A171">
        <v>785</v>
      </c>
      <c r="B171" t="s">
        <v>1441</v>
      </c>
      <c r="C171" t="s">
        <v>1187</v>
      </c>
      <c r="D171" t="s">
        <v>1396</v>
      </c>
      <c r="E171">
        <v>1079.99</v>
      </c>
      <c r="F171" t="s">
        <v>1425</v>
      </c>
      <c r="G171" t="s">
        <v>1442</v>
      </c>
    </row>
    <row r="172" spans="1:7" x14ac:dyDescent="0.55000000000000004">
      <c r="A172">
        <v>786</v>
      </c>
      <c r="B172" t="s">
        <v>1443</v>
      </c>
      <c r="C172" t="s">
        <v>1187</v>
      </c>
      <c r="D172" t="s">
        <v>1444</v>
      </c>
      <c r="E172">
        <v>1079.99</v>
      </c>
      <c r="F172" t="s">
        <v>1425</v>
      </c>
      <c r="G172" t="s">
        <v>1442</v>
      </c>
    </row>
    <row r="173" spans="1:7" x14ac:dyDescent="0.55000000000000004">
      <c r="A173">
        <v>787</v>
      </c>
      <c r="B173" t="s">
        <v>1445</v>
      </c>
      <c r="C173" t="s">
        <v>1187</v>
      </c>
      <c r="D173" t="s">
        <v>1356</v>
      </c>
      <c r="E173">
        <v>1079.99</v>
      </c>
      <c r="F173" t="s">
        <v>1425</v>
      </c>
      <c r="G173" t="s">
        <v>1442</v>
      </c>
    </row>
    <row r="174" spans="1:7" x14ac:dyDescent="0.55000000000000004">
      <c r="A174">
        <v>788</v>
      </c>
      <c r="B174" t="s">
        <v>1446</v>
      </c>
      <c r="C174" t="s">
        <v>1187</v>
      </c>
      <c r="D174" t="s">
        <v>1358</v>
      </c>
      <c r="E174">
        <v>1079.99</v>
      </c>
      <c r="F174" t="s">
        <v>1425</v>
      </c>
      <c r="G174" t="s">
        <v>1442</v>
      </c>
    </row>
    <row r="175" spans="1:7" x14ac:dyDescent="0.55000000000000004">
      <c r="A175">
        <v>789</v>
      </c>
      <c r="B175" t="s">
        <v>1447</v>
      </c>
      <c r="C175" t="s">
        <v>1649</v>
      </c>
      <c r="D175" t="s">
        <v>1356</v>
      </c>
      <c r="E175">
        <v>2443.35</v>
      </c>
      <c r="F175" t="s">
        <v>1399</v>
      </c>
      <c r="G175" t="s">
        <v>1448</v>
      </c>
    </row>
    <row r="176" spans="1:7" x14ac:dyDescent="0.55000000000000004">
      <c r="A176">
        <v>790</v>
      </c>
      <c r="B176" t="s">
        <v>1449</v>
      </c>
      <c r="C176" t="s">
        <v>1649</v>
      </c>
      <c r="D176" t="s">
        <v>1358</v>
      </c>
      <c r="E176">
        <v>2443.35</v>
      </c>
      <c r="F176" t="s">
        <v>1399</v>
      </c>
      <c r="G176" t="s">
        <v>1448</v>
      </c>
    </row>
    <row r="177" spans="1:7" x14ac:dyDescent="0.55000000000000004">
      <c r="A177">
        <v>791</v>
      </c>
      <c r="B177" t="s">
        <v>1450</v>
      </c>
      <c r="C177" t="s">
        <v>1649</v>
      </c>
      <c r="D177" t="s">
        <v>1360</v>
      </c>
      <c r="E177">
        <v>2443.35</v>
      </c>
      <c r="F177" t="s">
        <v>1399</v>
      </c>
      <c r="G177" t="s">
        <v>1448</v>
      </c>
    </row>
    <row r="178" spans="1:7" x14ac:dyDescent="0.55000000000000004">
      <c r="A178">
        <v>792</v>
      </c>
      <c r="B178" t="s">
        <v>1451</v>
      </c>
      <c r="C178" t="s">
        <v>1649</v>
      </c>
      <c r="D178" t="s">
        <v>1342</v>
      </c>
      <c r="E178">
        <v>2443.35</v>
      </c>
      <c r="F178" t="s">
        <v>1399</v>
      </c>
      <c r="G178" t="s">
        <v>1448</v>
      </c>
    </row>
    <row r="179" spans="1:7" x14ac:dyDescent="0.55000000000000004">
      <c r="A179">
        <v>793</v>
      </c>
      <c r="B179" t="s">
        <v>1452</v>
      </c>
      <c r="C179" t="s">
        <v>1187</v>
      </c>
      <c r="D179" t="s">
        <v>1356</v>
      </c>
      <c r="E179">
        <v>2443.35</v>
      </c>
      <c r="F179" t="s">
        <v>1399</v>
      </c>
      <c r="G179" t="s">
        <v>1448</v>
      </c>
    </row>
    <row r="180" spans="1:7" x14ac:dyDescent="0.55000000000000004">
      <c r="A180">
        <v>794</v>
      </c>
      <c r="B180" t="s">
        <v>1453</v>
      </c>
      <c r="C180" t="s">
        <v>1187</v>
      </c>
      <c r="D180" t="s">
        <v>1358</v>
      </c>
      <c r="E180">
        <v>2443.35</v>
      </c>
      <c r="F180" t="s">
        <v>1399</v>
      </c>
      <c r="G180" t="s">
        <v>1448</v>
      </c>
    </row>
    <row r="181" spans="1:7" x14ac:dyDescent="0.55000000000000004">
      <c r="A181">
        <v>795</v>
      </c>
      <c r="B181" t="s">
        <v>1454</v>
      </c>
      <c r="C181" t="s">
        <v>1187</v>
      </c>
      <c r="D181" t="s">
        <v>1360</v>
      </c>
      <c r="E181">
        <v>2443.35</v>
      </c>
      <c r="F181" t="s">
        <v>1399</v>
      </c>
      <c r="G181" t="s">
        <v>1448</v>
      </c>
    </row>
    <row r="182" spans="1:7" x14ac:dyDescent="0.55000000000000004">
      <c r="A182">
        <v>796</v>
      </c>
      <c r="B182" t="s">
        <v>1455</v>
      </c>
      <c r="C182" t="s">
        <v>1187</v>
      </c>
      <c r="D182" t="s">
        <v>1342</v>
      </c>
      <c r="E182">
        <v>2443.35</v>
      </c>
      <c r="F182" t="s">
        <v>1399</v>
      </c>
      <c r="G182" t="s">
        <v>1448</v>
      </c>
    </row>
    <row r="183" spans="1:7" x14ac:dyDescent="0.55000000000000004">
      <c r="A183">
        <v>797</v>
      </c>
      <c r="B183" t="s">
        <v>1456</v>
      </c>
      <c r="C183" t="s">
        <v>1285</v>
      </c>
      <c r="D183" t="s">
        <v>1396</v>
      </c>
      <c r="E183">
        <v>1120.49</v>
      </c>
      <c r="F183" t="s">
        <v>1399</v>
      </c>
      <c r="G183" t="s">
        <v>1457</v>
      </c>
    </row>
    <row r="184" spans="1:7" x14ac:dyDescent="0.55000000000000004">
      <c r="A184">
        <v>798</v>
      </c>
      <c r="B184" t="s">
        <v>1458</v>
      </c>
      <c r="C184" t="s">
        <v>1285</v>
      </c>
      <c r="D184" t="s">
        <v>1444</v>
      </c>
      <c r="E184">
        <v>1120.49</v>
      </c>
      <c r="F184" t="s">
        <v>1399</v>
      </c>
      <c r="G184" t="s">
        <v>1457</v>
      </c>
    </row>
    <row r="185" spans="1:7" x14ac:dyDescent="0.55000000000000004">
      <c r="A185">
        <v>799</v>
      </c>
      <c r="B185" t="s">
        <v>1459</v>
      </c>
      <c r="C185" t="s">
        <v>1285</v>
      </c>
      <c r="D185" t="s">
        <v>1384</v>
      </c>
      <c r="E185">
        <v>1120.49</v>
      </c>
      <c r="F185" t="s">
        <v>1399</v>
      </c>
      <c r="G185" t="s">
        <v>1457</v>
      </c>
    </row>
    <row r="186" spans="1:7" x14ac:dyDescent="0.55000000000000004">
      <c r="A186">
        <v>800</v>
      </c>
      <c r="B186" t="s">
        <v>1460</v>
      </c>
      <c r="C186" t="s">
        <v>1285</v>
      </c>
      <c r="D186" t="s">
        <v>1356</v>
      </c>
      <c r="E186">
        <v>1120.49</v>
      </c>
      <c r="F186" t="s">
        <v>1399</v>
      </c>
      <c r="G186" t="s">
        <v>1457</v>
      </c>
    </row>
    <row r="187" spans="1:7" x14ac:dyDescent="0.55000000000000004">
      <c r="A187">
        <v>801</v>
      </c>
      <c r="B187" t="s">
        <v>1461</v>
      </c>
      <c r="C187" t="s">
        <v>1285</v>
      </c>
      <c r="D187" t="s">
        <v>1358</v>
      </c>
      <c r="E187">
        <v>1120.49</v>
      </c>
      <c r="F187" t="s">
        <v>1399</v>
      </c>
      <c r="G187" t="s">
        <v>1457</v>
      </c>
    </row>
    <row r="188" spans="1:7" x14ac:dyDescent="0.55000000000000004">
      <c r="A188">
        <v>814</v>
      </c>
      <c r="B188" t="s">
        <v>1462</v>
      </c>
      <c r="C188" t="s">
        <v>1187</v>
      </c>
      <c r="D188" t="s">
        <v>1396</v>
      </c>
      <c r="E188">
        <v>348.76</v>
      </c>
      <c r="F188" t="s">
        <v>1385</v>
      </c>
      <c r="G188" t="s">
        <v>1463</v>
      </c>
    </row>
    <row r="189" spans="1:7" x14ac:dyDescent="0.55000000000000004">
      <c r="A189">
        <v>822</v>
      </c>
      <c r="B189" t="s">
        <v>1464</v>
      </c>
      <c r="C189" t="s">
        <v>1285</v>
      </c>
      <c r="D189" t="s">
        <v>1396</v>
      </c>
      <c r="E189">
        <v>594.83000000000004</v>
      </c>
      <c r="F189" t="s">
        <v>1343</v>
      </c>
      <c r="G189" t="s">
        <v>1465</v>
      </c>
    </row>
    <row r="190" spans="1:7" x14ac:dyDescent="0.55000000000000004">
      <c r="A190">
        <v>830</v>
      </c>
      <c r="B190" t="s">
        <v>1466</v>
      </c>
      <c r="C190" t="s">
        <v>1187</v>
      </c>
      <c r="D190" t="s">
        <v>1444</v>
      </c>
      <c r="E190">
        <v>348.76</v>
      </c>
      <c r="F190" t="s">
        <v>1385</v>
      </c>
      <c r="G190" t="s">
        <v>1467</v>
      </c>
    </row>
    <row r="191" spans="1:7" x14ac:dyDescent="0.55000000000000004">
      <c r="A191">
        <v>831</v>
      </c>
      <c r="B191" t="s">
        <v>1468</v>
      </c>
      <c r="C191" t="s">
        <v>1187</v>
      </c>
      <c r="D191" t="s">
        <v>1356</v>
      </c>
      <c r="E191">
        <v>348.76</v>
      </c>
      <c r="F191" t="s">
        <v>1385</v>
      </c>
      <c r="G191" t="s">
        <v>1467</v>
      </c>
    </row>
    <row r="192" spans="1:7" x14ac:dyDescent="0.55000000000000004">
      <c r="A192">
        <v>832</v>
      </c>
      <c r="B192" t="s">
        <v>1469</v>
      </c>
      <c r="C192" t="s">
        <v>1187</v>
      </c>
      <c r="D192" t="s">
        <v>1358</v>
      </c>
      <c r="E192">
        <v>348.76</v>
      </c>
      <c r="F192" t="s">
        <v>1385</v>
      </c>
      <c r="G192" t="s">
        <v>1467</v>
      </c>
    </row>
    <row r="193" spans="1:7" x14ac:dyDescent="0.55000000000000004">
      <c r="A193">
        <v>833</v>
      </c>
      <c r="B193" t="s">
        <v>1470</v>
      </c>
      <c r="C193" t="s">
        <v>1285</v>
      </c>
      <c r="D193" t="s">
        <v>1444</v>
      </c>
      <c r="E193">
        <v>594.83000000000004</v>
      </c>
      <c r="F193" t="s">
        <v>1343</v>
      </c>
      <c r="G193" t="s">
        <v>1465</v>
      </c>
    </row>
    <row r="194" spans="1:7" x14ac:dyDescent="0.55000000000000004">
      <c r="A194">
        <v>834</v>
      </c>
      <c r="B194" t="s">
        <v>1471</v>
      </c>
      <c r="C194" t="s">
        <v>1285</v>
      </c>
      <c r="D194" t="s">
        <v>1384</v>
      </c>
      <c r="E194">
        <v>594.83000000000004</v>
      </c>
      <c r="F194" t="s">
        <v>1343</v>
      </c>
      <c r="G194" t="s">
        <v>1465</v>
      </c>
    </row>
    <row r="195" spans="1:7" x14ac:dyDescent="0.55000000000000004">
      <c r="A195">
        <v>835</v>
      </c>
      <c r="B195" t="s">
        <v>1472</v>
      </c>
      <c r="C195" t="s">
        <v>1285</v>
      </c>
      <c r="D195" t="s">
        <v>1356</v>
      </c>
      <c r="E195">
        <v>594.83000000000004</v>
      </c>
      <c r="F195" t="s">
        <v>1343</v>
      </c>
      <c r="G195" t="s">
        <v>1465</v>
      </c>
    </row>
    <row r="196" spans="1:7" x14ac:dyDescent="0.55000000000000004">
      <c r="A196">
        <v>836</v>
      </c>
      <c r="B196" t="s">
        <v>1473</v>
      </c>
      <c r="C196" t="s">
        <v>1285</v>
      </c>
      <c r="D196" t="s">
        <v>1358</v>
      </c>
      <c r="E196">
        <v>594.83000000000004</v>
      </c>
      <c r="F196" t="s">
        <v>1343</v>
      </c>
      <c r="G196" t="s">
        <v>1465</v>
      </c>
    </row>
    <row r="197" spans="1:7" x14ac:dyDescent="0.55000000000000004">
      <c r="A197">
        <v>837</v>
      </c>
      <c r="B197" t="s">
        <v>1474</v>
      </c>
      <c r="C197" t="s">
        <v>1187</v>
      </c>
      <c r="D197" t="s">
        <v>1354</v>
      </c>
      <c r="E197">
        <v>1431.5</v>
      </c>
      <c r="F197" t="s">
        <v>1343</v>
      </c>
      <c r="G197" t="s">
        <v>1344</v>
      </c>
    </row>
    <row r="198" spans="1:7" x14ac:dyDescent="0.55000000000000004">
      <c r="A198">
        <v>838</v>
      </c>
      <c r="B198" t="s">
        <v>1475</v>
      </c>
      <c r="C198" t="s">
        <v>1187</v>
      </c>
      <c r="D198" t="s">
        <v>1356</v>
      </c>
      <c r="E198">
        <v>1431.5</v>
      </c>
      <c r="F198" t="s">
        <v>1343</v>
      </c>
      <c r="G198" t="s">
        <v>1344</v>
      </c>
    </row>
    <row r="199" spans="1:7" x14ac:dyDescent="0.55000000000000004">
      <c r="A199">
        <v>839</v>
      </c>
      <c r="B199" t="s">
        <v>1476</v>
      </c>
      <c r="C199" t="s">
        <v>1187</v>
      </c>
      <c r="D199" t="s">
        <v>1358</v>
      </c>
      <c r="E199">
        <v>1431.5</v>
      </c>
      <c r="F199" t="s">
        <v>1343</v>
      </c>
      <c r="G199" t="s">
        <v>1344</v>
      </c>
    </row>
    <row r="200" spans="1:7" x14ac:dyDescent="0.55000000000000004">
      <c r="A200">
        <v>840</v>
      </c>
      <c r="B200" t="s">
        <v>1477</v>
      </c>
      <c r="C200" t="s">
        <v>1187</v>
      </c>
      <c r="D200" t="s">
        <v>1360</v>
      </c>
      <c r="E200">
        <v>1431.5</v>
      </c>
      <c r="F200" t="s">
        <v>1343</v>
      </c>
      <c r="G200" t="s">
        <v>1344</v>
      </c>
    </row>
    <row r="201" spans="1:7" x14ac:dyDescent="0.55000000000000004">
      <c r="A201">
        <v>841</v>
      </c>
      <c r="B201" t="s">
        <v>1478</v>
      </c>
      <c r="C201" t="s">
        <v>1187</v>
      </c>
      <c r="D201" t="s">
        <v>1349</v>
      </c>
      <c r="E201">
        <v>59.99</v>
      </c>
      <c r="F201" t="s">
        <v>1247</v>
      </c>
      <c r="G201" t="s">
        <v>1248</v>
      </c>
    </row>
    <row r="202" spans="1:7" x14ac:dyDescent="0.55000000000000004">
      <c r="A202">
        <v>850</v>
      </c>
      <c r="B202" t="s">
        <v>1479</v>
      </c>
      <c r="C202" t="s">
        <v>1187</v>
      </c>
      <c r="D202" t="s">
        <v>1347</v>
      </c>
      <c r="E202">
        <v>59.99</v>
      </c>
      <c r="F202" t="s">
        <v>1247</v>
      </c>
      <c r="G202" t="s">
        <v>1248</v>
      </c>
    </row>
    <row r="203" spans="1:7" x14ac:dyDescent="0.55000000000000004">
      <c r="A203">
        <v>851</v>
      </c>
      <c r="B203" t="s">
        <v>1480</v>
      </c>
      <c r="C203" t="s">
        <v>1187</v>
      </c>
      <c r="D203" t="s">
        <v>1352</v>
      </c>
      <c r="E203">
        <v>59.99</v>
      </c>
      <c r="F203" t="s">
        <v>1247</v>
      </c>
      <c r="G203" t="s">
        <v>1248</v>
      </c>
    </row>
    <row r="204" spans="1:7" x14ac:dyDescent="0.55000000000000004">
      <c r="A204">
        <v>852</v>
      </c>
      <c r="B204" t="s">
        <v>1481</v>
      </c>
      <c r="C204" t="s">
        <v>1187</v>
      </c>
      <c r="D204" t="s">
        <v>1349</v>
      </c>
      <c r="E204">
        <v>74.989999999999995</v>
      </c>
      <c r="F204" t="s">
        <v>1250</v>
      </c>
      <c r="G204" t="s">
        <v>1251</v>
      </c>
    </row>
    <row r="205" spans="1:7" x14ac:dyDescent="0.55000000000000004">
      <c r="A205">
        <v>854</v>
      </c>
      <c r="B205" t="s">
        <v>1482</v>
      </c>
      <c r="C205" t="s">
        <v>1187</v>
      </c>
      <c r="D205" t="s">
        <v>1347</v>
      </c>
      <c r="E205">
        <v>74.989999999999995</v>
      </c>
      <c r="F205" t="s">
        <v>1250</v>
      </c>
      <c r="G205" t="s">
        <v>1251</v>
      </c>
    </row>
    <row r="206" spans="1:7" x14ac:dyDescent="0.55000000000000004">
      <c r="A206">
        <v>855</v>
      </c>
      <c r="B206" t="s">
        <v>1483</v>
      </c>
      <c r="C206" t="s">
        <v>1195</v>
      </c>
      <c r="D206" t="s">
        <v>1349</v>
      </c>
      <c r="E206">
        <v>89.99</v>
      </c>
      <c r="F206" t="s">
        <v>1253</v>
      </c>
      <c r="G206" t="s">
        <v>1254</v>
      </c>
    </row>
    <row r="207" spans="1:7" x14ac:dyDescent="0.55000000000000004">
      <c r="A207">
        <v>857</v>
      </c>
      <c r="B207" t="s">
        <v>1484</v>
      </c>
      <c r="C207" t="s">
        <v>1195</v>
      </c>
      <c r="D207" t="s">
        <v>1347</v>
      </c>
      <c r="E207">
        <v>89.99</v>
      </c>
      <c r="F207" t="s">
        <v>1253</v>
      </c>
      <c r="G207" t="s">
        <v>1254</v>
      </c>
    </row>
    <row r="208" spans="1:7" x14ac:dyDescent="0.55000000000000004">
      <c r="A208">
        <v>858</v>
      </c>
      <c r="B208" t="s">
        <v>1485</v>
      </c>
      <c r="C208" t="s">
        <v>1187</v>
      </c>
      <c r="D208" t="s">
        <v>1349</v>
      </c>
      <c r="E208">
        <v>24.49</v>
      </c>
      <c r="F208" t="s">
        <v>1256</v>
      </c>
      <c r="G208" t="s">
        <v>1257</v>
      </c>
    </row>
    <row r="209" spans="1:7" x14ac:dyDescent="0.55000000000000004">
      <c r="A209">
        <v>860</v>
      </c>
      <c r="B209" t="s">
        <v>1486</v>
      </c>
      <c r="C209" t="s">
        <v>1187</v>
      </c>
      <c r="D209" t="s">
        <v>1347</v>
      </c>
      <c r="E209">
        <v>24.49</v>
      </c>
      <c r="F209" t="s">
        <v>1256</v>
      </c>
      <c r="G209" t="s">
        <v>1257</v>
      </c>
    </row>
    <row r="210" spans="1:7" x14ac:dyDescent="0.55000000000000004">
      <c r="A210">
        <v>861</v>
      </c>
      <c r="B210" t="s">
        <v>1487</v>
      </c>
      <c r="C210" t="s">
        <v>1187</v>
      </c>
      <c r="D210" t="s">
        <v>1349</v>
      </c>
      <c r="E210">
        <v>37.99</v>
      </c>
      <c r="F210" t="s">
        <v>1256</v>
      </c>
      <c r="G210" t="s">
        <v>1259</v>
      </c>
    </row>
    <row r="211" spans="1:7" x14ac:dyDescent="0.55000000000000004">
      <c r="A211">
        <v>863</v>
      </c>
      <c r="B211" t="s">
        <v>1488</v>
      </c>
      <c r="C211" t="s">
        <v>1187</v>
      </c>
      <c r="D211" t="s">
        <v>1347</v>
      </c>
      <c r="E211">
        <v>37.99</v>
      </c>
      <c r="F211" t="s">
        <v>1256</v>
      </c>
      <c r="G211" t="s">
        <v>1259</v>
      </c>
    </row>
    <row r="212" spans="1:7" x14ac:dyDescent="0.55000000000000004">
      <c r="A212">
        <v>864</v>
      </c>
      <c r="B212" t="s">
        <v>1489</v>
      </c>
      <c r="C212" t="s">
        <v>1193</v>
      </c>
      <c r="D212" t="s">
        <v>1349</v>
      </c>
      <c r="E212">
        <v>63.5</v>
      </c>
      <c r="F212" t="s">
        <v>1261</v>
      </c>
      <c r="G212" t="s">
        <v>1262</v>
      </c>
    </row>
    <row r="213" spans="1:7" x14ac:dyDescent="0.55000000000000004">
      <c r="A213">
        <v>866</v>
      </c>
      <c r="B213" t="s">
        <v>1490</v>
      </c>
      <c r="C213" t="s">
        <v>1193</v>
      </c>
      <c r="D213" t="s">
        <v>1347</v>
      </c>
      <c r="E213">
        <v>63.5</v>
      </c>
      <c r="F213" t="s">
        <v>1261</v>
      </c>
      <c r="G213" t="s">
        <v>1262</v>
      </c>
    </row>
    <row r="214" spans="1:7" x14ac:dyDescent="0.55000000000000004">
      <c r="A214">
        <v>867</v>
      </c>
      <c r="B214" t="s">
        <v>1491</v>
      </c>
      <c r="C214" t="s">
        <v>1187</v>
      </c>
      <c r="D214" t="s">
        <v>1349</v>
      </c>
      <c r="E214">
        <v>69.989999999999995</v>
      </c>
      <c r="F214" t="s">
        <v>1247</v>
      </c>
      <c r="G214" t="s">
        <v>1264</v>
      </c>
    </row>
    <row r="215" spans="1:7" x14ac:dyDescent="0.55000000000000004">
      <c r="A215">
        <v>869</v>
      </c>
      <c r="B215" t="s">
        <v>1492</v>
      </c>
      <c r="C215" t="s">
        <v>1187</v>
      </c>
      <c r="D215" t="s">
        <v>1347</v>
      </c>
      <c r="E215">
        <v>69.989999999999995</v>
      </c>
      <c r="F215" t="s">
        <v>1247</v>
      </c>
      <c r="G215" t="s">
        <v>1264</v>
      </c>
    </row>
    <row r="216" spans="1:7" x14ac:dyDescent="0.55000000000000004">
      <c r="A216">
        <v>875</v>
      </c>
      <c r="B216" t="s">
        <v>1493</v>
      </c>
      <c r="C216" t="s">
        <v>1189</v>
      </c>
      <c r="D216" t="s">
        <v>1347</v>
      </c>
      <c r="E216">
        <v>8.99</v>
      </c>
      <c r="F216" t="s">
        <v>1190</v>
      </c>
      <c r="G216" t="s">
        <v>1274</v>
      </c>
    </row>
    <row r="217" spans="1:7" x14ac:dyDescent="0.55000000000000004">
      <c r="A217">
        <v>880</v>
      </c>
      <c r="B217" t="s">
        <v>1494</v>
      </c>
      <c r="C217" t="s">
        <v>1288</v>
      </c>
      <c r="D217" t="s">
        <v>1495</v>
      </c>
      <c r="E217">
        <v>54.99</v>
      </c>
      <c r="F217" t="s">
        <v>1496</v>
      </c>
      <c r="G217" t="s">
        <v>1497</v>
      </c>
    </row>
    <row r="218" spans="1:7" x14ac:dyDescent="0.55000000000000004">
      <c r="A218">
        <v>881</v>
      </c>
      <c r="B218" t="s">
        <v>1498</v>
      </c>
      <c r="C218" t="s">
        <v>1285</v>
      </c>
      <c r="D218" t="s">
        <v>1349</v>
      </c>
      <c r="E218">
        <v>53.99</v>
      </c>
      <c r="F218" t="s">
        <v>1199</v>
      </c>
      <c r="G218" t="s">
        <v>1286</v>
      </c>
    </row>
    <row r="219" spans="1:7" x14ac:dyDescent="0.55000000000000004">
      <c r="A219">
        <v>883</v>
      </c>
      <c r="B219" t="s">
        <v>1499</v>
      </c>
      <c r="C219" t="s">
        <v>1285</v>
      </c>
      <c r="D219" t="s">
        <v>1347</v>
      </c>
      <c r="E219">
        <v>53.99</v>
      </c>
      <c r="F219" t="s">
        <v>1199</v>
      </c>
      <c r="G219" t="s">
        <v>1286</v>
      </c>
    </row>
    <row r="220" spans="1:7" x14ac:dyDescent="0.55000000000000004">
      <c r="A220">
        <v>884</v>
      </c>
      <c r="B220" t="s">
        <v>1500</v>
      </c>
      <c r="C220" t="s">
        <v>1285</v>
      </c>
      <c r="D220" t="s">
        <v>1352</v>
      </c>
      <c r="E220">
        <v>53.99</v>
      </c>
      <c r="F220" t="s">
        <v>1199</v>
      </c>
      <c r="G220" t="s">
        <v>1286</v>
      </c>
    </row>
    <row r="221" spans="1:7" x14ac:dyDescent="0.55000000000000004">
      <c r="A221">
        <v>885</v>
      </c>
      <c r="B221" t="s">
        <v>1501</v>
      </c>
      <c r="C221" t="s">
        <v>1285</v>
      </c>
      <c r="D221" t="s">
        <v>1366</v>
      </c>
      <c r="E221">
        <v>1003.91</v>
      </c>
      <c r="F221" t="s">
        <v>1502</v>
      </c>
      <c r="G221" t="s">
        <v>1503</v>
      </c>
    </row>
    <row r="222" spans="1:7" x14ac:dyDescent="0.55000000000000004">
      <c r="A222">
        <v>886</v>
      </c>
      <c r="B222" t="s">
        <v>1504</v>
      </c>
      <c r="C222" t="s">
        <v>1285</v>
      </c>
      <c r="D222" t="s">
        <v>1354</v>
      </c>
      <c r="E222">
        <v>333.42</v>
      </c>
      <c r="F222" t="s">
        <v>1502</v>
      </c>
      <c r="G222" t="s">
        <v>1505</v>
      </c>
    </row>
    <row r="223" spans="1:7" x14ac:dyDescent="0.55000000000000004">
      <c r="A223">
        <v>887</v>
      </c>
      <c r="B223" t="s">
        <v>1506</v>
      </c>
      <c r="C223" t="s">
        <v>1285</v>
      </c>
      <c r="D223" t="s">
        <v>1390</v>
      </c>
      <c r="E223">
        <v>1003.91</v>
      </c>
      <c r="F223" t="s">
        <v>1502</v>
      </c>
      <c r="G223" t="s">
        <v>1503</v>
      </c>
    </row>
    <row r="224" spans="1:7" x14ac:dyDescent="0.55000000000000004">
      <c r="A224">
        <v>888</v>
      </c>
      <c r="B224" t="s">
        <v>1507</v>
      </c>
      <c r="C224" t="s">
        <v>1285</v>
      </c>
      <c r="D224" t="s">
        <v>1508</v>
      </c>
      <c r="E224">
        <v>1003.91</v>
      </c>
      <c r="F224" t="s">
        <v>1502</v>
      </c>
      <c r="G224" t="s">
        <v>1503</v>
      </c>
    </row>
    <row r="225" spans="1:7" x14ac:dyDescent="0.55000000000000004">
      <c r="A225">
        <v>889</v>
      </c>
      <c r="B225" t="s">
        <v>1509</v>
      </c>
      <c r="C225" t="s">
        <v>1285</v>
      </c>
      <c r="D225" t="s">
        <v>1510</v>
      </c>
      <c r="E225">
        <v>1003.91</v>
      </c>
      <c r="F225" t="s">
        <v>1502</v>
      </c>
      <c r="G225" t="s">
        <v>1503</v>
      </c>
    </row>
    <row r="226" spans="1:7" x14ac:dyDescent="0.55000000000000004">
      <c r="A226">
        <v>890</v>
      </c>
      <c r="B226" t="s">
        <v>1511</v>
      </c>
      <c r="C226" t="s">
        <v>1193</v>
      </c>
      <c r="D226" t="s">
        <v>1390</v>
      </c>
      <c r="E226">
        <v>1003.91</v>
      </c>
      <c r="F226" t="s">
        <v>1502</v>
      </c>
      <c r="G226" t="s">
        <v>1503</v>
      </c>
    </row>
    <row r="227" spans="1:7" x14ac:dyDescent="0.55000000000000004">
      <c r="A227">
        <v>891</v>
      </c>
      <c r="B227" t="s">
        <v>1512</v>
      </c>
      <c r="C227" t="s">
        <v>1193</v>
      </c>
      <c r="D227" t="s">
        <v>1508</v>
      </c>
      <c r="E227">
        <v>1003.91</v>
      </c>
      <c r="F227" t="s">
        <v>1502</v>
      </c>
      <c r="G227" t="s">
        <v>1503</v>
      </c>
    </row>
    <row r="228" spans="1:7" x14ac:dyDescent="0.55000000000000004">
      <c r="A228">
        <v>892</v>
      </c>
      <c r="B228" t="s">
        <v>1513</v>
      </c>
      <c r="C228" t="s">
        <v>1193</v>
      </c>
      <c r="D228" t="s">
        <v>1510</v>
      </c>
      <c r="E228">
        <v>1003.91</v>
      </c>
      <c r="F228" t="s">
        <v>1502</v>
      </c>
      <c r="G228" t="s">
        <v>1503</v>
      </c>
    </row>
    <row r="229" spans="1:7" x14ac:dyDescent="0.55000000000000004">
      <c r="A229">
        <v>893</v>
      </c>
      <c r="B229" t="s">
        <v>1514</v>
      </c>
      <c r="C229" t="s">
        <v>1193</v>
      </c>
      <c r="D229" t="s">
        <v>1366</v>
      </c>
      <c r="E229">
        <v>1003.91</v>
      </c>
      <c r="F229" t="s">
        <v>1502</v>
      </c>
      <c r="G229" t="s">
        <v>1503</v>
      </c>
    </row>
    <row r="230" spans="1:7" x14ac:dyDescent="0.55000000000000004">
      <c r="A230">
        <v>895</v>
      </c>
      <c r="B230" t="s">
        <v>1515</v>
      </c>
      <c r="C230" t="s">
        <v>1193</v>
      </c>
      <c r="D230" t="s">
        <v>1508</v>
      </c>
      <c r="E230">
        <v>333.42</v>
      </c>
      <c r="F230" t="s">
        <v>1502</v>
      </c>
      <c r="G230" t="s">
        <v>1505</v>
      </c>
    </row>
    <row r="231" spans="1:7" x14ac:dyDescent="0.55000000000000004">
      <c r="A231">
        <v>896</v>
      </c>
      <c r="B231" t="s">
        <v>1516</v>
      </c>
      <c r="C231" t="s">
        <v>1193</v>
      </c>
      <c r="D231" t="s">
        <v>1510</v>
      </c>
      <c r="E231">
        <v>333.42</v>
      </c>
      <c r="F231" t="s">
        <v>1502</v>
      </c>
      <c r="G231" t="s">
        <v>1505</v>
      </c>
    </row>
    <row r="232" spans="1:7" x14ac:dyDescent="0.55000000000000004">
      <c r="A232">
        <v>897</v>
      </c>
      <c r="B232" t="s">
        <v>1517</v>
      </c>
      <c r="C232" t="s">
        <v>1193</v>
      </c>
      <c r="D232" t="s">
        <v>1342</v>
      </c>
      <c r="E232">
        <v>333.42</v>
      </c>
      <c r="F232" t="s">
        <v>1502</v>
      </c>
      <c r="G232" t="s">
        <v>1505</v>
      </c>
    </row>
    <row r="233" spans="1:7" x14ac:dyDescent="0.55000000000000004">
      <c r="A233">
        <v>898</v>
      </c>
      <c r="B233" t="s">
        <v>1518</v>
      </c>
      <c r="C233" t="s">
        <v>1193</v>
      </c>
      <c r="D233" t="s">
        <v>1354</v>
      </c>
      <c r="E233">
        <v>333.42</v>
      </c>
      <c r="F233" t="s">
        <v>1502</v>
      </c>
      <c r="G233" t="s">
        <v>1505</v>
      </c>
    </row>
    <row r="234" spans="1:7" x14ac:dyDescent="0.55000000000000004">
      <c r="A234">
        <v>899</v>
      </c>
      <c r="B234" t="s">
        <v>1519</v>
      </c>
      <c r="C234" t="s">
        <v>1285</v>
      </c>
      <c r="D234" t="s">
        <v>1356</v>
      </c>
      <c r="E234">
        <v>333.42</v>
      </c>
      <c r="F234" t="s">
        <v>1502</v>
      </c>
      <c r="G234" t="s">
        <v>1505</v>
      </c>
    </row>
    <row r="235" spans="1:7" x14ac:dyDescent="0.55000000000000004">
      <c r="A235">
        <v>900</v>
      </c>
      <c r="B235" t="s">
        <v>1520</v>
      </c>
      <c r="C235" t="s">
        <v>1285</v>
      </c>
      <c r="D235" t="s">
        <v>1508</v>
      </c>
      <c r="E235">
        <v>333.42</v>
      </c>
      <c r="F235" t="s">
        <v>1502</v>
      </c>
      <c r="G235" t="s">
        <v>1505</v>
      </c>
    </row>
    <row r="236" spans="1:7" x14ac:dyDescent="0.55000000000000004">
      <c r="A236">
        <v>901</v>
      </c>
      <c r="B236" t="s">
        <v>1521</v>
      </c>
      <c r="C236" t="s">
        <v>1285</v>
      </c>
      <c r="D236" t="s">
        <v>1510</v>
      </c>
      <c r="E236">
        <v>333.42</v>
      </c>
      <c r="F236" t="s">
        <v>1502</v>
      </c>
      <c r="G236" t="s">
        <v>1505</v>
      </c>
    </row>
    <row r="237" spans="1:7" x14ac:dyDescent="0.55000000000000004">
      <c r="A237">
        <v>902</v>
      </c>
      <c r="B237" t="s">
        <v>1522</v>
      </c>
      <c r="C237" t="s">
        <v>1285</v>
      </c>
      <c r="D237" t="s">
        <v>1342</v>
      </c>
      <c r="E237">
        <v>333.42</v>
      </c>
      <c r="F237" t="s">
        <v>1502</v>
      </c>
      <c r="G237" t="s">
        <v>1505</v>
      </c>
    </row>
    <row r="238" spans="1:7" x14ac:dyDescent="0.55000000000000004">
      <c r="A238">
        <v>903</v>
      </c>
      <c r="B238" t="s">
        <v>1523</v>
      </c>
      <c r="C238" t="s">
        <v>1193</v>
      </c>
      <c r="D238" t="s">
        <v>1356</v>
      </c>
      <c r="E238">
        <v>333.42</v>
      </c>
      <c r="F238" t="s">
        <v>1502</v>
      </c>
      <c r="G238" t="s">
        <v>1505</v>
      </c>
    </row>
    <row r="239" spans="1:7" x14ac:dyDescent="0.55000000000000004">
      <c r="A239">
        <v>904</v>
      </c>
      <c r="B239" t="s">
        <v>1524</v>
      </c>
      <c r="C239" t="s">
        <v>1288</v>
      </c>
      <c r="D239" t="s">
        <v>1444</v>
      </c>
      <c r="E239">
        <v>364.09</v>
      </c>
      <c r="F239" t="s">
        <v>1385</v>
      </c>
      <c r="G239" t="s">
        <v>1463</v>
      </c>
    </row>
    <row r="240" spans="1:7" x14ac:dyDescent="0.55000000000000004">
      <c r="A240">
        <v>905</v>
      </c>
      <c r="B240" t="s">
        <v>1525</v>
      </c>
      <c r="C240" t="s">
        <v>1288</v>
      </c>
      <c r="D240" t="s">
        <v>1384</v>
      </c>
      <c r="E240">
        <v>364.09</v>
      </c>
      <c r="F240" t="s">
        <v>1385</v>
      </c>
      <c r="G240" t="s">
        <v>1463</v>
      </c>
    </row>
    <row r="241" spans="1:7" x14ac:dyDescent="0.55000000000000004">
      <c r="A241">
        <v>906</v>
      </c>
      <c r="B241" t="s">
        <v>1526</v>
      </c>
      <c r="C241" t="s">
        <v>1288</v>
      </c>
      <c r="D241" t="s">
        <v>1390</v>
      </c>
      <c r="E241">
        <v>364.09</v>
      </c>
      <c r="F241" t="s">
        <v>1385</v>
      </c>
      <c r="G241" t="s">
        <v>1463</v>
      </c>
    </row>
    <row r="242" spans="1:7" x14ac:dyDescent="0.55000000000000004">
      <c r="A242">
        <v>917</v>
      </c>
      <c r="B242" t="s">
        <v>1527</v>
      </c>
      <c r="C242" t="s">
        <v>1288</v>
      </c>
      <c r="D242" t="s">
        <v>1384</v>
      </c>
      <c r="E242">
        <v>264.05</v>
      </c>
      <c r="F242" t="s">
        <v>1385</v>
      </c>
      <c r="G242" t="s">
        <v>1528</v>
      </c>
    </row>
    <row r="243" spans="1:7" x14ac:dyDescent="0.55000000000000004">
      <c r="A243">
        <v>918</v>
      </c>
      <c r="B243" t="s">
        <v>1529</v>
      </c>
      <c r="C243" t="s">
        <v>1288</v>
      </c>
      <c r="D243" t="s">
        <v>1356</v>
      </c>
      <c r="E243">
        <v>264.05</v>
      </c>
      <c r="F243" t="s">
        <v>1385</v>
      </c>
      <c r="G243" t="s">
        <v>1528</v>
      </c>
    </row>
    <row r="244" spans="1:7" x14ac:dyDescent="0.55000000000000004">
      <c r="A244">
        <v>919</v>
      </c>
      <c r="B244" t="s">
        <v>1530</v>
      </c>
      <c r="C244" t="s">
        <v>1288</v>
      </c>
      <c r="D244" t="s">
        <v>1358</v>
      </c>
      <c r="E244">
        <v>264.05</v>
      </c>
      <c r="F244" t="s">
        <v>1385</v>
      </c>
      <c r="G244" t="s">
        <v>1528</v>
      </c>
    </row>
    <row r="245" spans="1:7" x14ac:dyDescent="0.55000000000000004">
      <c r="A245">
        <v>920</v>
      </c>
      <c r="B245" t="s">
        <v>1531</v>
      </c>
      <c r="C245" t="s">
        <v>1288</v>
      </c>
      <c r="D245" t="s">
        <v>1360</v>
      </c>
      <c r="E245">
        <v>264.05</v>
      </c>
      <c r="F245" t="s">
        <v>1385</v>
      </c>
      <c r="G245" t="s">
        <v>1528</v>
      </c>
    </row>
    <row r="246" spans="1:7" x14ac:dyDescent="0.55000000000000004">
      <c r="A246">
        <v>924</v>
      </c>
      <c r="B246" t="s">
        <v>1532</v>
      </c>
      <c r="C246" t="s">
        <v>1187</v>
      </c>
      <c r="D246" t="s">
        <v>1384</v>
      </c>
      <c r="E246">
        <v>249.79</v>
      </c>
      <c r="F246" t="s">
        <v>1385</v>
      </c>
      <c r="G246" t="s">
        <v>1528</v>
      </c>
    </row>
    <row r="247" spans="1:7" x14ac:dyDescent="0.55000000000000004">
      <c r="A247">
        <v>925</v>
      </c>
      <c r="B247" t="s">
        <v>1533</v>
      </c>
      <c r="C247" t="s">
        <v>1187</v>
      </c>
      <c r="D247" t="s">
        <v>1356</v>
      </c>
      <c r="E247">
        <v>249.79</v>
      </c>
      <c r="F247" t="s">
        <v>1385</v>
      </c>
      <c r="G247" t="s">
        <v>1528</v>
      </c>
    </row>
    <row r="248" spans="1:7" x14ac:dyDescent="0.55000000000000004">
      <c r="A248">
        <v>926</v>
      </c>
      <c r="B248" t="s">
        <v>1534</v>
      </c>
      <c r="C248" t="s">
        <v>1187</v>
      </c>
      <c r="D248" t="s">
        <v>1358</v>
      </c>
      <c r="E248">
        <v>249.79</v>
      </c>
      <c r="F248" t="s">
        <v>1385</v>
      </c>
      <c r="G248" t="s">
        <v>1528</v>
      </c>
    </row>
    <row r="249" spans="1:7" x14ac:dyDescent="0.55000000000000004">
      <c r="A249">
        <v>927</v>
      </c>
      <c r="B249" t="s">
        <v>1535</v>
      </c>
      <c r="C249" t="s">
        <v>1187</v>
      </c>
      <c r="D249" t="s">
        <v>1360</v>
      </c>
      <c r="E249">
        <v>249.79</v>
      </c>
      <c r="F249" t="s">
        <v>1385</v>
      </c>
      <c r="G249" t="s">
        <v>1528</v>
      </c>
    </row>
    <row r="250" spans="1:7" x14ac:dyDescent="0.55000000000000004">
      <c r="A250">
        <v>942</v>
      </c>
      <c r="B250" t="s">
        <v>1536</v>
      </c>
      <c r="C250" t="s">
        <v>1288</v>
      </c>
      <c r="D250" t="s">
        <v>1396</v>
      </c>
      <c r="E250">
        <v>364.09</v>
      </c>
      <c r="F250" t="s">
        <v>1385</v>
      </c>
      <c r="G250" t="s">
        <v>1463</v>
      </c>
    </row>
    <row r="251" spans="1:7" x14ac:dyDescent="0.55000000000000004">
      <c r="A251">
        <v>943</v>
      </c>
      <c r="B251" t="s">
        <v>1537</v>
      </c>
      <c r="C251" t="s">
        <v>1187</v>
      </c>
      <c r="D251" t="s">
        <v>1444</v>
      </c>
      <c r="E251">
        <v>249.79</v>
      </c>
      <c r="F251" t="s">
        <v>1385</v>
      </c>
      <c r="G251" t="s">
        <v>1528</v>
      </c>
    </row>
    <row r="252" spans="1:7" x14ac:dyDescent="0.55000000000000004">
      <c r="A252">
        <v>944</v>
      </c>
      <c r="B252" t="s">
        <v>1538</v>
      </c>
      <c r="C252" t="s">
        <v>1288</v>
      </c>
      <c r="D252" t="s">
        <v>1444</v>
      </c>
      <c r="E252">
        <v>264.05</v>
      </c>
      <c r="F252" t="s">
        <v>1385</v>
      </c>
      <c r="G252" t="s">
        <v>1528</v>
      </c>
    </row>
    <row r="253" spans="1:7" x14ac:dyDescent="0.55000000000000004">
      <c r="A253">
        <v>953</v>
      </c>
      <c r="B253" t="s">
        <v>1539</v>
      </c>
      <c r="C253" t="s">
        <v>1193</v>
      </c>
      <c r="D253" t="s">
        <v>1366</v>
      </c>
      <c r="E253">
        <v>1214.8499999999999</v>
      </c>
      <c r="F253" t="s">
        <v>1540</v>
      </c>
      <c r="G253" t="s">
        <v>1541</v>
      </c>
    </row>
    <row r="254" spans="1:7" x14ac:dyDescent="0.55000000000000004">
      <c r="A254">
        <v>954</v>
      </c>
      <c r="B254" t="s">
        <v>1542</v>
      </c>
      <c r="C254" t="s">
        <v>1285</v>
      </c>
      <c r="D254" t="s">
        <v>1390</v>
      </c>
      <c r="E254">
        <v>2384.0700000000002</v>
      </c>
      <c r="F254" t="s">
        <v>1540</v>
      </c>
      <c r="G254" t="s">
        <v>1543</v>
      </c>
    </row>
    <row r="255" spans="1:7" x14ac:dyDescent="0.55000000000000004">
      <c r="A255">
        <v>955</v>
      </c>
      <c r="B255" t="s">
        <v>1544</v>
      </c>
      <c r="C255" t="s">
        <v>1285</v>
      </c>
      <c r="D255" t="s">
        <v>1508</v>
      </c>
      <c r="E255">
        <v>2384.0700000000002</v>
      </c>
      <c r="F255" t="s">
        <v>1540</v>
      </c>
      <c r="G255" t="s">
        <v>1543</v>
      </c>
    </row>
    <row r="256" spans="1:7" x14ac:dyDescent="0.55000000000000004">
      <c r="A256">
        <v>956</v>
      </c>
      <c r="B256" t="s">
        <v>1545</v>
      </c>
      <c r="C256" t="s">
        <v>1285</v>
      </c>
      <c r="D256" t="s">
        <v>1510</v>
      </c>
      <c r="E256">
        <v>2384.0700000000002</v>
      </c>
      <c r="F256" t="s">
        <v>1540</v>
      </c>
      <c r="G256" t="s">
        <v>1543</v>
      </c>
    </row>
    <row r="257" spans="1:7" x14ac:dyDescent="0.55000000000000004">
      <c r="A257">
        <v>957</v>
      </c>
      <c r="B257" t="s">
        <v>1546</v>
      </c>
      <c r="C257" t="s">
        <v>1285</v>
      </c>
      <c r="D257" t="s">
        <v>1366</v>
      </c>
      <c r="E257">
        <v>2384.0700000000002</v>
      </c>
      <c r="F257" t="s">
        <v>1540</v>
      </c>
      <c r="G257" t="s">
        <v>1543</v>
      </c>
    </row>
    <row r="258" spans="1:7" x14ac:dyDescent="0.55000000000000004">
      <c r="A258">
        <v>958</v>
      </c>
      <c r="B258" t="s">
        <v>1547</v>
      </c>
      <c r="C258" t="s">
        <v>1193</v>
      </c>
      <c r="D258" t="s">
        <v>1510</v>
      </c>
      <c r="E258">
        <v>742.35</v>
      </c>
      <c r="F258" t="s">
        <v>1540</v>
      </c>
      <c r="G258" t="s">
        <v>1548</v>
      </c>
    </row>
    <row r="259" spans="1:7" x14ac:dyDescent="0.55000000000000004">
      <c r="A259">
        <v>959</v>
      </c>
      <c r="B259" t="s">
        <v>1549</v>
      </c>
      <c r="C259" t="s">
        <v>1193</v>
      </c>
      <c r="D259" t="s">
        <v>1342</v>
      </c>
      <c r="E259">
        <v>742.35</v>
      </c>
      <c r="F259" t="s">
        <v>1540</v>
      </c>
      <c r="G259" t="s">
        <v>1548</v>
      </c>
    </row>
    <row r="260" spans="1:7" x14ac:dyDescent="0.55000000000000004">
      <c r="A260">
        <v>960</v>
      </c>
      <c r="B260" t="s">
        <v>1550</v>
      </c>
      <c r="C260" t="s">
        <v>1193</v>
      </c>
      <c r="D260" t="s">
        <v>1354</v>
      </c>
      <c r="E260">
        <v>742.35</v>
      </c>
      <c r="F260" t="s">
        <v>1540</v>
      </c>
      <c r="G260" t="s">
        <v>1548</v>
      </c>
    </row>
    <row r="261" spans="1:7" x14ac:dyDescent="0.55000000000000004">
      <c r="A261">
        <v>961</v>
      </c>
      <c r="B261" t="s">
        <v>1551</v>
      </c>
      <c r="C261" t="s">
        <v>1285</v>
      </c>
      <c r="D261" t="s">
        <v>1356</v>
      </c>
      <c r="E261">
        <v>742.35</v>
      </c>
      <c r="F261" t="s">
        <v>1540</v>
      </c>
      <c r="G261" t="s">
        <v>1548</v>
      </c>
    </row>
    <row r="262" spans="1:7" x14ac:dyDescent="0.55000000000000004">
      <c r="A262">
        <v>962</v>
      </c>
      <c r="B262" t="s">
        <v>1552</v>
      </c>
      <c r="C262" t="s">
        <v>1285</v>
      </c>
      <c r="D262" t="s">
        <v>1508</v>
      </c>
      <c r="E262">
        <v>742.35</v>
      </c>
      <c r="F262" t="s">
        <v>1540</v>
      </c>
      <c r="G262" t="s">
        <v>1548</v>
      </c>
    </row>
    <row r="263" spans="1:7" x14ac:dyDescent="0.55000000000000004">
      <c r="A263">
        <v>963</v>
      </c>
      <c r="B263" t="s">
        <v>1553</v>
      </c>
      <c r="C263" t="s">
        <v>1285</v>
      </c>
      <c r="D263" t="s">
        <v>1510</v>
      </c>
      <c r="E263">
        <v>742.35</v>
      </c>
      <c r="F263" t="s">
        <v>1540</v>
      </c>
      <c r="G263" t="s">
        <v>1548</v>
      </c>
    </row>
    <row r="264" spans="1:7" x14ac:dyDescent="0.55000000000000004">
      <c r="A264">
        <v>964</v>
      </c>
      <c r="B264" t="s">
        <v>1554</v>
      </c>
      <c r="C264" t="s">
        <v>1285</v>
      </c>
      <c r="D264" t="s">
        <v>1342</v>
      </c>
      <c r="E264">
        <v>742.35</v>
      </c>
      <c r="F264" t="s">
        <v>1540</v>
      </c>
      <c r="G264" t="s">
        <v>1548</v>
      </c>
    </row>
    <row r="265" spans="1:7" x14ac:dyDescent="0.55000000000000004">
      <c r="A265">
        <v>965</v>
      </c>
      <c r="B265" t="s">
        <v>1555</v>
      </c>
      <c r="C265" t="s">
        <v>1285</v>
      </c>
      <c r="D265" t="s">
        <v>1354</v>
      </c>
      <c r="E265">
        <v>742.35</v>
      </c>
      <c r="F265" t="s">
        <v>1540</v>
      </c>
      <c r="G265" t="s">
        <v>1548</v>
      </c>
    </row>
    <row r="266" spans="1:7" x14ac:dyDescent="0.55000000000000004">
      <c r="A266">
        <v>966</v>
      </c>
      <c r="B266" t="s">
        <v>1556</v>
      </c>
      <c r="C266" t="s">
        <v>1193</v>
      </c>
      <c r="D266" t="s">
        <v>1390</v>
      </c>
      <c r="E266">
        <v>2384.0700000000002</v>
      </c>
      <c r="F266" t="s">
        <v>1540</v>
      </c>
      <c r="G266" t="s">
        <v>1543</v>
      </c>
    </row>
    <row r="267" spans="1:7" x14ac:dyDescent="0.55000000000000004">
      <c r="A267">
        <v>967</v>
      </c>
      <c r="B267" t="s">
        <v>1557</v>
      </c>
      <c r="C267" t="s">
        <v>1193</v>
      </c>
      <c r="D267" t="s">
        <v>1508</v>
      </c>
      <c r="E267">
        <v>2384.0700000000002</v>
      </c>
      <c r="F267" t="s">
        <v>1540</v>
      </c>
      <c r="G267" t="s">
        <v>1543</v>
      </c>
    </row>
    <row r="268" spans="1:7" x14ac:dyDescent="0.55000000000000004">
      <c r="A268">
        <v>968</v>
      </c>
      <c r="B268" t="s">
        <v>1558</v>
      </c>
      <c r="C268" t="s">
        <v>1193</v>
      </c>
      <c r="D268" t="s">
        <v>1510</v>
      </c>
      <c r="E268">
        <v>2384.0700000000002</v>
      </c>
      <c r="F268" t="s">
        <v>1540</v>
      </c>
      <c r="G268" t="s">
        <v>1543</v>
      </c>
    </row>
    <row r="269" spans="1:7" x14ac:dyDescent="0.55000000000000004">
      <c r="A269">
        <v>969</v>
      </c>
      <c r="B269" t="s">
        <v>1559</v>
      </c>
      <c r="C269" t="s">
        <v>1193</v>
      </c>
      <c r="D269" t="s">
        <v>1366</v>
      </c>
      <c r="E269">
        <v>2384.0700000000002</v>
      </c>
      <c r="F269" t="s">
        <v>1540</v>
      </c>
      <c r="G269" t="s">
        <v>1543</v>
      </c>
    </row>
    <row r="270" spans="1:7" x14ac:dyDescent="0.55000000000000004">
      <c r="A270">
        <v>970</v>
      </c>
      <c r="B270" t="s">
        <v>1560</v>
      </c>
      <c r="C270" t="s">
        <v>1193</v>
      </c>
      <c r="D270" t="s">
        <v>1390</v>
      </c>
      <c r="E270">
        <v>1214.8499999999999</v>
      </c>
      <c r="F270" t="s">
        <v>1540</v>
      </c>
      <c r="G270" t="s">
        <v>1541</v>
      </c>
    </row>
    <row r="271" spans="1:7" x14ac:dyDescent="0.55000000000000004">
      <c r="A271">
        <v>971</v>
      </c>
      <c r="B271" t="s">
        <v>1561</v>
      </c>
      <c r="C271" t="s">
        <v>1193</v>
      </c>
      <c r="D271" t="s">
        <v>1508</v>
      </c>
      <c r="E271">
        <v>1214.8499999999999</v>
      </c>
      <c r="F271" t="s">
        <v>1540</v>
      </c>
      <c r="G271" t="s">
        <v>1541</v>
      </c>
    </row>
    <row r="272" spans="1:7" x14ac:dyDescent="0.55000000000000004">
      <c r="A272">
        <v>972</v>
      </c>
      <c r="B272" t="s">
        <v>1562</v>
      </c>
      <c r="C272" t="s">
        <v>1193</v>
      </c>
      <c r="D272" t="s">
        <v>1510</v>
      </c>
      <c r="E272">
        <v>1214.8499999999999</v>
      </c>
      <c r="F272" t="s">
        <v>1540</v>
      </c>
      <c r="G272" t="s">
        <v>1541</v>
      </c>
    </row>
    <row r="273" spans="1:7" x14ac:dyDescent="0.55000000000000004">
      <c r="A273">
        <v>973</v>
      </c>
      <c r="B273" t="s">
        <v>1563</v>
      </c>
      <c r="C273" t="s">
        <v>1285</v>
      </c>
      <c r="D273" t="s">
        <v>1444</v>
      </c>
      <c r="E273">
        <v>1700.99</v>
      </c>
      <c r="F273" t="s">
        <v>1399</v>
      </c>
      <c r="G273" t="s">
        <v>1564</v>
      </c>
    </row>
    <row r="274" spans="1:7" x14ac:dyDescent="0.55000000000000004">
      <c r="A274">
        <v>974</v>
      </c>
      <c r="B274" t="s">
        <v>1565</v>
      </c>
      <c r="C274" t="s">
        <v>1285</v>
      </c>
      <c r="D274" t="s">
        <v>1384</v>
      </c>
      <c r="E274">
        <v>1700.99</v>
      </c>
      <c r="F274" t="s">
        <v>1399</v>
      </c>
      <c r="G274" t="s">
        <v>1564</v>
      </c>
    </row>
    <row r="275" spans="1:7" x14ac:dyDescent="0.55000000000000004">
      <c r="A275">
        <v>975</v>
      </c>
      <c r="B275" t="s">
        <v>1566</v>
      </c>
      <c r="C275" t="s">
        <v>1285</v>
      </c>
      <c r="D275" t="s">
        <v>1356</v>
      </c>
      <c r="E275">
        <v>1700.99</v>
      </c>
      <c r="F275" t="s">
        <v>1399</v>
      </c>
      <c r="G275" t="s">
        <v>1564</v>
      </c>
    </row>
    <row r="276" spans="1:7" x14ac:dyDescent="0.55000000000000004">
      <c r="A276">
        <v>976</v>
      </c>
      <c r="B276" t="s">
        <v>1567</v>
      </c>
      <c r="C276" t="s">
        <v>1285</v>
      </c>
      <c r="D276" t="s">
        <v>1358</v>
      </c>
      <c r="E276">
        <v>1700.99</v>
      </c>
      <c r="F276" t="s">
        <v>1399</v>
      </c>
      <c r="G276" t="s">
        <v>1564</v>
      </c>
    </row>
    <row r="277" spans="1:7" x14ac:dyDescent="0.55000000000000004">
      <c r="A277">
        <v>977</v>
      </c>
      <c r="B277" t="s">
        <v>1568</v>
      </c>
      <c r="C277" t="s">
        <v>1187</v>
      </c>
      <c r="D277" t="s">
        <v>1342</v>
      </c>
      <c r="E277">
        <v>539.99</v>
      </c>
      <c r="F277" t="s">
        <v>1399</v>
      </c>
      <c r="G277" t="s">
        <v>1569</v>
      </c>
    </row>
    <row r="278" spans="1:7" x14ac:dyDescent="0.55000000000000004">
      <c r="A278">
        <v>978</v>
      </c>
      <c r="B278" t="s">
        <v>1570</v>
      </c>
      <c r="C278" t="s">
        <v>1193</v>
      </c>
      <c r="D278" t="s">
        <v>1356</v>
      </c>
      <c r="E278">
        <v>742.35</v>
      </c>
      <c r="F278" t="s">
        <v>1540</v>
      </c>
      <c r="G278" t="s">
        <v>1548</v>
      </c>
    </row>
    <row r="279" spans="1:7" x14ac:dyDescent="0.55000000000000004">
      <c r="A279">
        <v>979</v>
      </c>
      <c r="B279" t="s">
        <v>1571</v>
      </c>
      <c r="C279" t="s">
        <v>1193</v>
      </c>
      <c r="D279" t="s">
        <v>1508</v>
      </c>
      <c r="E279">
        <v>742.35</v>
      </c>
      <c r="F279" t="s">
        <v>1540</v>
      </c>
      <c r="G279" t="s">
        <v>1548</v>
      </c>
    </row>
    <row r="280" spans="1:7" x14ac:dyDescent="0.55000000000000004">
      <c r="A280">
        <v>980</v>
      </c>
      <c r="B280" t="s">
        <v>1572</v>
      </c>
      <c r="C280" t="s">
        <v>1288</v>
      </c>
      <c r="D280" t="s">
        <v>1396</v>
      </c>
      <c r="E280">
        <v>769.49</v>
      </c>
      <c r="F280" t="s">
        <v>1425</v>
      </c>
      <c r="G280" t="s">
        <v>1573</v>
      </c>
    </row>
    <row r="281" spans="1:7" x14ac:dyDescent="0.55000000000000004">
      <c r="A281">
        <v>981</v>
      </c>
      <c r="B281" t="s">
        <v>1574</v>
      </c>
      <c r="C281" t="s">
        <v>1288</v>
      </c>
      <c r="D281" t="s">
        <v>1444</v>
      </c>
      <c r="E281">
        <v>769.49</v>
      </c>
      <c r="F281" t="s">
        <v>1425</v>
      </c>
      <c r="G281" t="s">
        <v>1573</v>
      </c>
    </row>
    <row r="282" spans="1:7" x14ac:dyDescent="0.55000000000000004">
      <c r="A282">
        <v>982</v>
      </c>
      <c r="B282" t="s">
        <v>1575</v>
      </c>
      <c r="C282" t="s">
        <v>1288</v>
      </c>
      <c r="D282" t="s">
        <v>1384</v>
      </c>
      <c r="E282">
        <v>769.49</v>
      </c>
      <c r="F282" t="s">
        <v>1425</v>
      </c>
      <c r="G282" t="s">
        <v>1573</v>
      </c>
    </row>
    <row r="283" spans="1:7" x14ac:dyDescent="0.55000000000000004">
      <c r="A283">
        <v>983</v>
      </c>
      <c r="B283" t="s">
        <v>1576</v>
      </c>
      <c r="C283" t="s">
        <v>1288</v>
      </c>
      <c r="D283" t="s">
        <v>1390</v>
      </c>
      <c r="E283">
        <v>769.49</v>
      </c>
      <c r="F283" t="s">
        <v>1425</v>
      </c>
      <c r="G283" t="s">
        <v>1573</v>
      </c>
    </row>
    <row r="284" spans="1:7" x14ac:dyDescent="0.55000000000000004">
      <c r="A284">
        <v>984</v>
      </c>
      <c r="B284" t="s">
        <v>1577</v>
      </c>
      <c r="C284" t="s">
        <v>1288</v>
      </c>
      <c r="D284" t="s">
        <v>1444</v>
      </c>
      <c r="E284">
        <v>564.99</v>
      </c>
      <c r="F284" t="s">
        <v>1425</v>
      </c>
      <c r="G284" t="s">
        <v>1578</v>
      </c>
    </row>
    <row r="285" spans="1:7" x14ac:dyDescent="0.55000000000000004">
      <c r="A285">
        <v>985</v>
      </c>
      <c r="B285" t="s">
        <v>1579</v>
      </c>
      <c r="C285" t="s">
        <v>1288</v>
      </c>
      <c r="D285" t="s">
        <v>1384</v>
      </c>
      <c r="E285">
        <v>564.99</v>
      </c>
      <c r="F285" t="s">
        <v>1425</v>
      </c>
      <c r="G285" t="s">
        <v>1578</v>
      </c>
    </row>
    <row r="286" spans="1:7" x14ac:dyDescent="0.55000000000000004">
      <c r="A286">
        <v>986</v>
      </c>
      <c r="B286" t="s">
        <v>1580</v>
      </c>
      <c r="C286" t="s">
        <v>1288</v>
      </c>
      <c r="D286" t="s">
        <v>1356</v>
      </c>
      <c r="E286">
        <v>564.99</v>
      </c>
      <c r="F286" t="s">
        <v>1425</v>
      </c>
      <c r="G286" t="s">
        <v>1578</v>
      </c>
    </row>
    <row r="287" spans="1:7" x14ac:dyDescent="0.55000000000000004">
      <c r="A287">
        <v>987</v>
      </c>
      <c r="B287" t="s">
        <v>1581</v>
      </c>
      <c r="C287" t="s">
        <v>1288</v>
      </c>
      <c r="D287" t="s">
        <v>1358</v>
      </c>
      <c r="E287">
        <v>564.99</v>
      </c>
      <c r="F287" t="s">
        <v>1425</v>
      </c>
      <c r="G287" t="s">
        <v>1578</v>
      </c>
    </row>
    <row r="288" spans="1:7" x14ac:dyDescent="0.55000000000000004">
      <c r="A288">
        <v>988</v>
      </c>
      <c r="B288" t="s">
        <v>1582</v>
      </c>
      <c r="C288" t="s">
        <v>1288</v>
      </c>
      <c r="D288" t="s">
        <v>1360</v>
      </c>
      <c r="E288">
        <v>564.99</v>
      </c>
      <c r="F288" t="s">
        <v>1425</v>
      </c>
      <c r="G288" t="s">
        <v>1578</v>
      </c>
    </row>
    <row r="289" spans="1:7" x14ac:dyDescent="0.55000000000000004">
      <c r="A289">
        <v>989</v>
      </c>
      <c r="B289" t="s">
        <v>1583</v>
      </c>
      <c r="C289" t="s">
        <v>1187</v>
      </c>
      <c r="D289" t="s">
        <v>1444</v>
      </c>
      <c r="E289">
        <v>539.99</v>
      </c>
      <c r="F289" t="s">
        <v>1425</v>
      </c>
      <c r="G289" t="s">
        <v>1578</v>
      </c>
    </row>
    <row r="290" spans="1:7" x14ac:dyDescent="0.55000000000000004">
      <c r="A290">
        <v>990</v>
      </c>
      <c r="B290" t="s">
        <v>1584</v>
      </c>
      <c r="C290" t="s">
        <v>1187</v>
      </c>
      <c r="D290" t="s">
        <v>1384</v>
      </c>
      <c r="E290">
        <v>539.99</v>
      </c>
      <c r="F290" t="s">
        <v>1425</v>
      </c>
      <c r="G290" t="s">
        <v>1578</v>
      </c>
    </row>
    <row r="291" spans="1:7" x14ac:dyDescent="0.55000000000000004">
      <c r="A291">
        <v>991</v>
      </c>
      <c r="B291" t="s">
        <v>1585</v>
      </c>
      <c r="C291" t="s">
        <v>1187</v>
      </c>
      <c r="D291" t="s">
        <v>1356</v>
      </c>
      <c r="E291">
        <v>539.99</v>
      </c>
      <c r="F291" t="s">
        <v>1425</v>
      </c>
      <c r="G291" t="s">
        <v>1578</v>
      </c>
    </row>
    <row r="292" spans="1:7" x14ac:dyDescent="0.55000000000000004">
      <c r="A292">
        <v>992</v>
      </c>
      <c r="B292" t="s">
        <v>1586</v>
      </c>
      <c r="C292" t="s">
        <v>1187</v>
      </c>
      <c r="D292" t="s">
        <v>1358</v>
      </c>
      <c r="E292">
        <v>539.99</v>
      </c>
      <c r="F292" t="s">
        <v>1425</v>
      </c>
      <c r="G292" t="s">
        <v>1578</v>
      </c>
    </row>
    <row r="293" spans="1:7" x14ac:dyDescent="0.55000000000000004">
      <c r="A293">
        <v>993</v>
      </c>
      <c r="B293" t="s">
        <v>1587</v>
      </c>
      <c r="C293" t="s">
        <v>1187</v>
      </c>
      <c r="D293" t="s">
        <v>1360</v>
      </c>
      <c r="E293">
        <v>539.99</v>
      </c>
      <c r="F293" t="s">
        <v>1425</v>
      </c>
      <c r="G293" t="s">
        <v>1578</v>
      </c>
    </row>
    <row r="294" spans="1:7" x14ac:dyDescent="0.55000000000000004">
      <c r="A294">
        <v>997</v>
      </c>
      <c r="B294" t="s">
        <v>1588</v>
      </c>
      <c r="C294" t="s">
        <v>1187</v>
      </c>
      <c r="D294" t="s">
        <v>1356</v>
      </c>
      <c r="E294">
        <v>539.99</v>
      </c>
      <c r="F294" t="s">
        <v>1399</v>
      </c>
      <c r="G294" t="s">
        <v>1569</v>
      </c>
    </row>
    <row r="295" spans="1:7" x14ac:dyDescent="0.55000000000000004">
      <c r="A295">
        <v>998</v>
      </c>
      <c r="B295" t="s">
        <v>1589</v>
      </c>
      <c r="C295" t="s">
        <v>1187</v>
      </c>
      <c r="D295" t="s">
        <v>1358</v>
      </c>
      <c r="E295">
        <v>539.99</v>
      </c>
      <c r="F295" t="s">
        <v>1399</v>
      </c>
      <c r="G295" t="s">
        <v>1569</v>
      </c>
    </row>
    <row r="296" spans="1:7" x14ac:dyDescent="0.55000000000000004">
      <c r="A296">
        <v>999</v>
      </c>
      <c r="B296" t="s">
        <v>1590</v>
      </c>
      <c r="C296" t="s">
        <v>1187</v>
      </c>
      <c r="D296" t="s">
        <v>1360</v>
      </c>
      <c r="E296">
        <v>539.99</v>
      </c>
      <c r="F296" t="s">
        <v>1399</v>
      </c>
      <c r="G296" t="s">
        <v>1569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9EDEA-F587-4163-A159-9180D03C741D}">
  <dimension ref="A1:G296"/>
  <sheetViews>
    <sheetView workbookViewId="0">
      <selection sqref="A1:G296"/>
    </sheetView>
  </sheetViews>
  <sheetFormatPr defaultRowHeight="14.4" x14ac:dyDescent="0.55000000000000004"/>
  <cols>
    <col min="1" max="1" width="11" bestFit="1" customWidth="1"/>
    <col min="2" max="2" width="27.9453125" bestFit="1" customWidth="1"/>
    <col min="3" max="3" width="11.1015625" bestFit="1" customWidth="1"/>
    <col min="4" max="4" width="6.05078125" bestFit="1" customWidth="1"/>
    <col min="5" max="5" width="9.68359375" bestFit="1" customWidth="1"/>
    <col min="6" max="6" width="14.68359375" bestFit="1" customWidth="1"/>
    <col min="7" max="7" width="22.734375" bestFit="1" customWidth="1"/>
  </cols>
  <sheetData>
    <row r="1" spans="1:7" x14ac:dyDescent="0.55000000000000004">
      <c r="A1" t="s">
        <v>1</v>
      </c>
      <c r="B1" t="s">
        <v>1175</v>
      </c>
      <c r="C1" t="s">
        <v>1176</v>
      </c>
      <c r="D1" t="s">
        <v>1177</v>
      </c>
      <c r="E1" t="s">
        <v>1178</v>
      </c>
      <c r="F1" t="s">
        <v>1179</v>
      </c>
      <c r="G1" t="s">
        <v>1180</v>
      </c>
    </row>
    <row r="2" spans="1:7" x14ac:dyDescent="0.55000000000000004">
      <c r="A2">
        <v>707</v>
      </c>
      <c r="B2" t="s">
        <v>1181</v>
      </c>
      <c r="C2" t="s">
        <v>1182</v>
      </c>
      <c r="D2" t="s">
        <v>1183</v>
      </c>
      <c r="E2">
        <v>34.99</v>
      </c>
      <c r="F2" t="s">
        <v>1184</v>
      </c>
      <c r="G2" t="s">
        <v>1185</v>
      </c>
    </row>
    <row r="3" spans="1:7" x14ac:dyDescent="0.55000000000000004">
      <c r="A3">
        <v>708</v>
      </c>
      <c r="B3" t="s">
        <v>1186</v>
      </c>
      <c r="C3" t="s">
        <v>1187</v>
      </c>
      <c r="D3" t="s">
        <v>1183</v>
      </c>
      <c r="E3">
        <v>34.99</v>
      </c>
      <c r="F3" t="s">
        <v>1184</v>
      </c>
      <c r="G3" t="s">
        <v>1185</v>
      </c>
    </row>
    <row r="4" spans="1:7" x14ac:dyDescent="0.55000000000000004">
      <c r="A4">
        <v>709</v>
      </c>
      <c r="B4" t="s">
        <v>1188</v>
      </c>
      <c r="C4" t="s">
        <v>1189</v>
      </c>
      <c r="D4" t="s">
        <v>1183</v>
      </c>
      <c r="E4">
        <v>9.5</v>
      </c>
      <c r="F4" t="s">
        <v>1190</v>
      </c>
      <c r="G4" t="s">
        <v>1191</v>
      </c>
    </row>
    <row r="5" spans="1:7" x14ac:dyDescent="0.55000000000000004">
      <c r="A5">
        <v>711</v>
      </c>
      <c r="B5" t="s">
        <v>1192</v>
      </c>
      <c r="C5" t="s">
        <v>1193</v>
      </c>
      <c r="D5" t="s">
        <v>1183</v>
      </c>
      <c r="E5">
        <v>34.99</v>
      </c>
      <c r="F5" t="s">
        <v>1184</v>
      </c>
      <c r="G5" t="s">
        <v>1185</v>
      </c>
    </row>
    <row r="6" spans="1:7" x14ac:dyDescent="0.55000000000000004">
      <c r="A6">
        <v>712</v>
      </c>
      <c r="B6" t="s">
        <v>1194</v>
      </c>
      <c r="C6" t="s">
        <v>1195</v>
      </c>
      <c r="D6" t="s">
        <v>1183</v>
      </c>
      <c r="E6">
        <v>8.99</v>
      </c>
      <c r="F6" t="s">
        <v>1196</v>
      </c>
      <c r="G6" t="s">
        <v>1197</v>
      </c>
    </row>
    <row r="7" spans="1:7" x14ac:dyDescent="0.55000000000000004">
      <c r="A7">
        <v>714</v>
      </c>
      <c r="B7" t="s">
        <v>1198</v>
      </c>
      <c r="C7" t="s">
        <v>1195</v>
      </c>
      <c r="D7" t="s">
        <v>1183</v>
      </c>
      <c r="E7">
        <v>49.99</v>
      </c>
      <c r="F7" t="s">
        <v>1199</v>
      </c>
      <c r="G7" t="s">
        <v>1200</v>
      </c>
    </row>
    <row r="8" spans="1:7" x14ac:dyDescent="0.55000000000000004">
      <c r="A8">
        <v>802</v>
      </c>
      <c r="B8" t="s">
        <v>1201</v>
      </c>
      <c r="C8" t="s">
        <v>1202</v>
      </c>
      <c r="D8" t="s">
        <v>1183</v>
      </c>
      <c r="E8">
        <v>148.22</v>
      </c>
      <c r="F8" t="s">
        <v>1203</v>
      </c>
      <c r="G8" t="s">
        <v>1201</v>
      </c>
    </row>
    <row r="9" spans="1:7" x14ac:dyDescent="0.55000000000000004">
      <c r="A9">
        <v>803</v>
      </c>
      <c r="B9" t="s">
        <v>1204</v>
      </c>
      <c r="C9" t="s">
        <v>1202</v>
      </c>
      <c r="D9" t="s">
        <v>1183</v>
      </c>
      <c r="E9">
        <v>175.49</v>
      </c>
      <c r="F9" t="s">
        <v>1203</v>
      </c>
      <c r="G9" t="s">
        <v>1204</v>
      </c>
    </row>
    <row r="10" spans="1:7" x14ac:dyDescent="0.55000000000000004">
      <c r="A10">
        <v>804</v>
      </c>
      <c r="B10" t="s">
        <v>1205</v>
      </c>
      <c r="C10" t="s">
        <v>1202</v>
      </c>
      <c r="D10" t="s">
        <v>1183</v>
      </c>
      <c r="E10">
        <v>229.49</v>
      </c>
      <c r="F10" t="s">
        <v>1203</v>
      </c>
      <c r="G10" t="s">
        <v>1205</v>
      </c>
    </row>
    <row r="11" spans="1:7" x14ac:dyDescent="0.55000000000000004">
      <c r="A11">
        <v>805</v>
      </c>
      <c r="B11" t="s">
        <v>1206</v>
      </c>
      <c r="C11" t="s">
        <v>1202</v>
      </c>
      <c r="D11" t="s">
        <v>1183</v>
      </c>
      <c r="E11">
        <v>34.200000000000003</v>
      </c>
      <c r="F11" t="s">
        <v>1207</v>
      </c>
      <c r="G11" t="s">
        <v>1206</v>
      </c>
    </row>
    <row r="12" spans="1:7" x14ac:dyDescent="0.55000000000000004">
      <c r="A12">
        <v>806</v>
      </c>
      <c r="B12" t="s">
        <v>1208</v>
      </c>
      <c r="C12" t="s">
        <v>1202</v>
      </c>
      <c r="D12" t="s">
        <v>1183</v>
      </c>
      <c r="E12">
        <v>102.29</v>
      </c>
      <c r="F12" t="s">
        <v>1207</v>
      </c>
      <c r="G12" t="s">
        <v>1208</v>
      </c>
    </row>
    <row r="13" spans="1:7" x14ac:dyDescent="0.55000000000000004">
      <c r="A13">
        <v>807</v>
      </c>
      <c r="B13" t="s">
        <v>1209</v>
      </c>
      <c r="C13" t="s">
        <v>1202</v>
      </c>
      <c r="D13" t="s">
        <v>1183</v>
      </c>
      <c r="E13">
        <v>124.73</v>
      </c>
      <c r="F13" t="s">
        <v>1207</v>
      </c>
      <c r="G13" t="s">
        <v>1209</v>
      </c>
    </row>
    <row r="14" spans="1:7" x14ac:dyDescent="0.55000000000000004">
      <c r="A14">
        <v>808</v>
      </c>
      <c r="B14" t="s">
        <v>1210</v>
      </c>
      <c r="C14" t="s">
        <v>1202</v>
      </c>
      <c r="D14" t="s">
        <v>1183</v>
      </c>
      <c r="E14">
        <v>44.54</v>
      </c>
      <c r="F14" t="s">
        <v>1211</v>
      </c>
      <c r="G14" t="s">
        <v>1210</v>
      </c>
    </row>
    <row r="15" spans="1:7" x14ac:dyDescent="0.55000000000000004">
      <c r="A15">
        <v>809</v>
      </c>
      <c r="B15" t="s">
        <v>1212</v>
      </c>
      <c r="C15" t="s">
        <v>1202</v>
      </c>
      <c r="D15" t="s">
        <v>1183</v>
      </c>
      <c r="E15">
        <v>61.92</v>
      </c>
      <c r="F15" t="s">
        <v>1211</v>
      </c>
      <c r="G15" t="s">
        <v>1212</v>
      </c>
    </row>
    <row r="16" spans="1:7" x14ac:dyDescent="0.55000000000000004">
      <c r="A16">
        <v>810</v>
      </c>
      <c r="B16" t="s">
        <v>1213</v>
      </c>
      <c r="C16" t="s">
        <v>1202</v>
      </c>
      <c r="D16" t="s">
        <v>1183</v>
      </c>
      <c r="E16">
        <v>120.27</v>
      </c>
      <c r="F16" t="s">
        <v>1211</v>
      </c>
      <c r="G16" t="s">
        <v>1213</v>
      </c>
    </row>
    <row r="17" spans="1:7" x14ac:dyDescent="0.55000000000000004">
      <c r="A17">
        <v>811</v>
      </c>
      <c r="B17" t="s">
        <v>1214</v>
      </c>
      <c r="C17" t="s">
        <v>1202</v>
      </c>
      <c r="D17" t="s">
        <v>1183</v>
      </c>
      <c r="E17">
        <v>44.54</v>
      </c>
      <c r="F17" t="s">
        <v>1211</v>
      </c>
      <c r="G17" t="s">
        <v>1214</v>
      </c>
    </row>
    <row r="18" spans="1:7" x14ac:dyDescent="0.55000000000000004">
      <c r="A18">
        <v>812</v>
      </c>
      <c r="B18" t="s">
        <v>1215</v>
      </c>
      <c r="C18" t="s">
        <v>1202</v>
      </c>
      <c r="D18" t="s">
        <v>1183</v>
      </c>
      <c r="E18">
        <v>61.92</v>
      </c>
      <c r="F18" t="s">
        <v>1211</v>
      </c>
      <c r="G18" t="s">
        <v>1215</v>
      </c>
    </row>
    <row r="19" spans="1:7" x14ac:dyDescent="0.55000000000000004">
      <c r="A19">
        <v>813</v>
      </c>
      <c r="B19" t="s">
        <v>1216</v>
      </c>
      <c r="C19" t="s">
        <v>1202</v>
      </c>
      <c r="D19" t="s">
        <v>1183</v>
      </c>
      <c r="E19">
        <v>120.27</v>
      </c>
      <c r="F19" t="s">
        <v>1211</v>
      </c>
      <c r="G19" t="s">
        <v>1216</v>
      </c>
    </row>
    <row r="20" spans="1:7" x14ac:dyDescent="0.55000000000000004">
      <c r="A20">
        <v>815</v>
      </c>
      <c r="B20" t="s">
        <v>1217</v>
      </c>
      <c r="C20" t="s">
        <v>1187</v>
      </c>
      <c r="D20" t="s">
        <v>1183</v>
      </c>
      <c r="E20">
        <v>60.744999999999997</v>
      </c>
      <c r="F20" t="s">
        <v>1218</v>
      </c>
      <c r="G20" t="s">
        <v>1217</v>
      </c>
    </row>
    <row r="21" spans="1:7" x14ac:dyDescent="0.55000000000000004">
      <c r="A21">
        <v>816</v>
      </c>
      <c r="B21" t="s">
        <v>1219</v>
      </c>
      <c r="C21" t="s">
        <v>1187</v>
      </c>
      <c r="D21" t="s">
        <v>1183</v>
      </c>
      <c r="E21">
        <v>209.02500000000001</v>
      </c>
      <c r="F21" t="s">
        <v>1218</v>
      </c>
      <c r="G21" t="s">
        <v>1219</v>
      </c>
    </row>
    <row r="22" spans="1:7" x14ac:dyDescent="0.55000000000000004">
      <c r="A22">
        <v>817</v>
      </c>
      <c r="B22" t="s">
        <v>1220</v>
      </c>
      <c r="C22" t="s">
        <v>1187</v>
      </c>
      <c r="D22" t="s">
        <v>1183</v>
      </c>
      <c r="E22">
        <v>300.21499999999997</v>
      </c>
      <c r="F22" t="s">
        <v>1218</v>
      </c>
      <c r="G22" t="s">
        <v>1220</v>
      </c>
    </row>
    <row r="23" spans="1:7" x14ac:dyDescent="0.55000000000000004">
      <c r="A23">
        <v>818</v>
      </c>
      <c r="B23" t="s">
        <v>1221</v>
      </c>
      <c r="C23" t="s">
        <v>1187</v>
      </c>
      <c r="D23" t="s">
        <v>1183</v>
      </c>
      <c r="E23">
        <v>85.564999999999998</v>
      </c>
      <c r="F23" t="s">
        <v>1218</v>
      </c>
      <c r="G23" t="s">
        <v>1221</v>
      </c>
    </row>
    <row r="24" spans="1:7" x14ac:dyDescent="0.55000000000000004">
      <c r="A24">
        <v>819</v>
      </c>
      <c r="B24" t="s">
        <v>1222</v>
      </c>
      <c r="C24" t="s">
        <v>1187</v>
      </c>
      <c r="D24" t="s">
        <v>1183</v>
      </c>
      <c r="E24">
        <v>248.38499999999999</v>
      </c>
      <c r="F24" t="s">
        <v>1218</v>
      </c>
      <c r="G24" t="s">
        <v>1222</v>
      </c>
    </row>
    <row r="25" spans="1:7" x14ac:dyDescent="0.55000000000000004">
      <c r="A25">
        <v>820</v>
      </c>
      <c r="B25" t="s">
        <v>1223</v>
      </c>
      <c r="C25" t="s">
        <v>1187</v>
      </c>
      <c r="D25" t="s">
        <v>1183</v>
      </c>
      <c r="E25">
        <v>330.06</v>
      </c>
      <c r="F25" t="s">
        <v>1218</v>
      </c>
      <c r="G25" t="s">
        <v>1223</v>
      </c>
    </row>
    <row r="26" spans="1:7" x14ac:dyDescent="0.55000000000000004">
      <c r="A26">
        <v>821</v>
      </c>
      <c r="B26" t="s">
        <v>1224</v>
      </c>
      <c r="C26" t="s">
        <v>1187</v>
      </c>
      <c r="D26" t="s">
        <v>1183</v>
      </c>
      <c r="E26">
        <v>218.01</v>
      </c>
      <c r="F26" t="s">
        <v>1218</v>
      </c>
      <c r="G26" t="s">
        <v>1224</v>
      </c>
    </row>
    <row r="27" spans="1:7" x14ac:dyDescent="0.55000000000000004">
      <c r="A27">
        <v>823</v>
      </c>
      <c r="B27" t="s">
        <v>1225</v>
      </c>
      <c r="C27" t="s">
        <v>1187</v>
      </c>
      <c r="D27" t="s">
        <v>1183</v>
      </c>
      <c r="E27">
        <v>87.745000000000005</v>
      </c>
      <c r="F27" t="s">
        <v>1218</v>
      </c>
      <c r="G27" t="s">
        <v>1225</v>
      </c>
    </row>
    <row r="28" spans="1:7" x14ac:dyDescent="0.55000000000000004">
      <c r="A28">
        <v>824</v>
      </c>
      <c r="B28" t="s">
        <v>1226</v>
      </c>
      <c r="C28" t="s">
        <v>1187</v>
      </c>
      <c r="D28" t="s">
        <v>1183</v>
      </c>
      <c r="E28">
        <v>236.02500000000001</v>
      </c>
      <c r="F28" t="s">
        <v>1218</v>
      </c>
      <c r="G28" t="s">
        <v>1226</v>
      </c>
    </row>
    <row r="29" spans="1:7" x14ac:dyDescent="0.55000000000000004">
      <c r="A29">
        <v>825</v>
      </c>
      <c r="B29" t="s">
        <v>1227</v>
      </c>
      <c r="C29" t="s">
        <v>1187</v>
      </c>
      <c r="D29" t="s">
        <v>1183</v>
      </c>
      <c r="E29">
        <v>327.21499999999997</v>
      </c>
      <c r="F29" t="s">
        <v>1218</v>
      </c>
      <c r="G29" t="s">
        <v>1227</v>
      </c>
    </row>
    <row r="30" spans="1:7" x14ac:dyDescent="0.55000000000000004">
      <c r="A30">
        <v>826</v>
      </c>
      <c r="B30" t="s">
        <v>1228</v>
      </c>
      <c r="C30" t="s">
        <v>1187</v>
      </c>
      <c r="D30" t="s">
        <v>1183</v>
      </c>
      <c r="E30">
        <v>112.565</v>
      </c>
      <c r="F30" t="s">
        <v>1218</v>
      </c>
      <c r="G30" t="s">
        <v>1228</v>
      </c>
    </row>
    <row r="31" spans="1:7" x14ac:dyDescent="0.55000000000000004">
      <c r="A31">
        <v>827</v>
      </c>
      <c r="B31" t="s">
        <v>1229</v>
      </c>
      <c r="C31" t="s">
        <v>1187</v>
      </c>
      <c r="D31" t="s">
        <v>1183</v>
      </c>
      <c r="E31">
        <v>275.38499999999999</v>
      </c>
      <c r="F31" t="s">
        <v>1218</v>
      </c>
      <c r="G31" t="s">
        <v>1229</v>
      </c>
    </row>
    <row r="32" spans="1:7" x14ac:dyDescent="0.55000000000000004">
      <c r="A32">
        <v>828</v>
      </c>
      <c r="B32" t="s">
        <v>1230</v>
      </c>
      <c r="C32" t="s">
        <v>1187</v>
      </c>
      <c r="D32" t="s">
        <v>1183</v>
      </c>
      <c r="E32">
        <v>357.06</v>
      </c>
      <c r="F32" t="s">
        <v>1218</v>
      </c>
      <c r="G32" t="s">
        <v>1230</v>
      </c>
    </row>
    <row r="33" spans="1:7" x14ac:dyDescent="0.55000000000000004">
      <c r="A33">
        <v>829</v>
      </c>
      <c r="B33" t="s">
        <v>1231</v>
      </c>
      <c r="C33" t="s">
        <v>1187</v>
      </c>
      <c r="D33" t="s">
        <v>1183</v>
      </c>
      <c r="E33">
        <v>245.01</v>
      </c>
      <c r="F33" t="s">
        <v>1218</v>
      </c>
      <c r="G33" t="s">
        <v>1231</v>
      </c>
    </row>
    <row r="34" spans="1:7" x14ac:dyDescent="0.55000000000000004">
      <c r="A34">
        <v>842</v>
      </c>
      <c r="B34" t="s">
        <v>1232</v>
      </c>
      <c r="C34" t="s">
        <v>1233</v>
      </c>
      <c r="D34" t="s">
        <v>1183</v>
      </c>
      <c r="E34">
        <v>125</v>
      </c>
      <c r="F34" t="s">
        <v>1234</v>
      </c>
      <c r="G34" t="s">
        <v>1235</v>
      </c>
    </row>
    <row r="35" spans="1:7" x14ac:dyDescent="0.55000000000000004">
      <c r="A35">
        <v>843</v>
      </c>
      <c r="B35" t="s">
        <v>1236</v>
      </c>
      <c r="C35" t="s">
        <v>1202</v>
      </c>
      <c r="D35" t="s">
        <v>1183</v>
      </c>
      <c r="E35">
        <v>25</v>
      </c>
      <c r="F35" t="s">
        <v>1237</v>
      </c>
      <c r="G35" t="s">
        <v>1236</v>
      </c>
    </row>
    <row r="36" spans="1:7" x14ac:dyDescent="0.55000000000000004">
      <c r="A36">
        <v>844</v>
      </c>
      <c r="B36" t="s">
        <v>1238</v>
      </c>
      <c r="C36" t="s">
        <v>1202</v>
      </c>
      <c r="D36" t="s">
        <v>1183</v>
      </c>
      <c r="E36">
        <v>19.989999999999998</v>
      </c>
      <c r="F36" t="s">
        <v>1239</v>
      </c>
      <c r="G36" t="s">
        <v>1238</v>
      </c>
    </row>
    <row r="37" spans="1:7" x14ac:dyDescent="0.55000000000000004">
      <c r="A37">
        <v>845</v>
      </c>
      <c r="B37" t="s">
        <v>1240</v>
      </c>
      <c r="C37" t="s">
        <v>1202</v>
      </c>
      <c r="D37" t="s">
        <v>1183</v>
      </c>
      <c r="E37">
        <v>24.99</v>
      </c>
      <c r="F37" t="s">
        <v>1239</v>
      </c>
      <c r="G37" t="s">
        <v>1240</v>
      </c>
    </row>
    <row r="38" spans="1:7" x14ac:dyDescent="0.55000000000000004">
      <c r="A38">
        <v>846</v>
      </c>
      <c r="B38" t="s">
        <v>1241</v>
      </c>
      <c r="C38" t="s">
        <v>1202</v>
      </c>
      <c r="D38" t="s">
        <v>1183</v>
      </c>
      <c r="E38">
        <v>13.99</v>
      </c>
      <c r="F38" t="s">
        <v>1242</v>
      </c>
      <c r="G38" t="s">
        <v>1243</v>
      </c>
    </row>
    <row r="39" spans="1:7" x14ac:dyDescent="0.55000000000000004">
      <c r="A39">
        <v>847</v>
      </c>
      <c r="B39" t="s">
        <v>1244</v>
      </c>
      <c r="C39" t="s">
        <v>1202</v>
      </c>
      <c r="D39" t="s">
        <v>1183</v>
      </c>
      <c r="E39">
        <v>34.99</v>
      </c>
      <c r="F39" t="s">
        <v>1242</v>
      </c>
      <c r="G39" t="s">
        <v>1244</v>
      </c>
    </row>
    <row r="40" spans="1:7" x14ac:dyDescent="0.55000000000000004">
      <c r="A40">
        <v>848</v>
      </c>
      <c r="B40" t="s">
        <v>1245</v>
      </c>
      <c r="C40" t="s">
        <v>1202</v>
      </c>
      <c r="D40" t="s">
        <v>1183</v>
      </c>
      <c r="E40">
        <v>44.99</v>
      </c>
      <c r="F40" t="s">
        <v>1242</v>
      </c>
      <c r="G40" t="s">
        <v>1245</v>
      </c>
    </row>
    <row r="41" spans="1:7" x14ac:dyDescent="0.55000000000000004">
      <c r="A41">
        <v>849</v>
      </c>
      <c r="B41" t="s">
        <v>1246</v>
      </c>
      <c r="C41" t="s">
        <v>1187</v>
      </c>
      <c r="D41" t="s">
        <v>1183</v>
      </c>
      <c r="E41">
        <v>59.99</v>
      </c>
      <c r="F41" t="s">
        <v>1247</v>
      </c>
      <c r="G41" t="s">
        <v>1248</v>
      </c>
    </row>
    <row r="42" spans="1:7" x14ac:dyDescent="0.55000000000000004">
      <c r="A42">
        <v>853</v>
      </c>
      <c r="B42" t="s">
        <v>1249</v>
      </c>
      <c r="C42" t="s">
        <v>1187</v>
      </c>
      <c r="D42" t="s">
        <v>1183</v>
      </c>
      <c r="E42">
        <v>74.989999999999995</v>
      </c>
      <c r="F42" t="s">
        <v>1250</v>
      </c>
      <c r="G42" t="s">
        <v>1251</v>
      </c>
    </row>
    <row r="43" spans="1:7" x14ac:dyDescent="0.55000000000000004">
      <c r="A43">
        <v>856</v>
      </c>
      <c r="B43" t="s">
        <v>1252</v>
      </c>
      <c r="C43" t="s">
        <v>1195</v>
      </c>
      <c r="D43" t="s">
        <v>1183</v>
      </c>
      <c r="E43">
        <v>89.99</v>
      </c>
      <c r="F43" t="s">
        <v>1253</v>
      </c>
      <c r="G43" t="s">
        <v>1254</v>
      </c>
    </row>
    <row r="44" spans="1:7" x14ac:dyDescent="0.55000000000000004">
      <c r="A44">
        <v>859</v>
      </c>
      <c r="B44" t="s">
        <v>1255</v>
      </c>
      <c r="C44" t="s">
        <v>1187</v>
      </c>
      <c r="D44" t="s">
        <v>1183</v>
      </c>
      <c r="E44">
        <v>24.49</v>
      </c>
      <c r="F44" t="s">
        <v>1256</v>
      </c>
      <c r="G44" t="s">
        <v>1257</v>
      </c>
    </row>
    <row r="45" spans="1:7" x14ac:dyDescent="0.55000000000000004">
      <c r="A45">
        <v>862</v>
      </c>
      <c r="B45" t="s">
        <v>1258</v>
      </c>
      <c r="C45" t="s">
        <v>1187</v>
      </c>
      <c r="D45" t="s">
        <v>1183</v>
      </c>
      <c r="E45">
        <v>37.99</v>
      </c>
      <c r="F45" t="s">
        <v>1256</v>
      </c>
      <c r="G45" t="s">
        <v>1259</v>
      </c>
    </row>
    <row r="46" spans="1:7" x14ac:dyDescent="0.55000000000000004">
      <c r="A46">
        <v>865</v>
      </c>
      <c r="B46" t="s">
        <v>1260</v>
      </c>
      <c r="C46" t="s">
        <v>1193</v>
      </c>
      <c r="D46" t="s">
        <v>1183</v>
      </c>
      <c r="E46">
        <v>63.5</v>
      </c>
      <c r="F46" t="s">
        <v>1261</v>
      </c>
      <c r="G46" t="s">
        <v>1262</v>
      </c>
    </row>
    <row r="47" spans="1:7" x14ac:dyDescent="0.55000000000000004">
      <c r="A47">
        <v>868</v>
      </c>
      <c r="B47" t="s">
        <v>1263</v>
      </c>
      <c r="C47" t="s">
        <v>1187</v>
      </c>
      <c r="D47" t="s">
        <v>1183</v>
      </c>
      <c r="E47">
        <v>69.989999999999995</v>
      </c>
      <c r="F47" t="s">
        <v>1247</v>
      </c>
      <c r="G47" t="s">
        <v>1264</v>
      </c>
    </row>
    <row r="48" spans="1:7" x14ac:dyDescent="0.55000000000000004">
      <c r="A48">
        <v>870</v>
      </c>
      <c r="B48" t="s">
        <v>1265</v>
      </c>
      <c r="C48" t="s">
        <v>1202</v>
      </c>
      <c r="D48" t="s">
        <v>1183</v>
      </c>
      <c r="E48">
        <v>4.99</v>
      </c>
      <c r="F48" t="s">
        <v>1266</v>
      </c>
      <c r="G48" t="s">
        <v>1267</v>
      </c>
    </row>
    <row r="49" spans="1:7" x14ac:dyDescent="0.55000000000000004">
      <c r="A49">
        <v>871</v>
      </c>
      <c r="B49" t="s">
        <v>1268</v>
      </c>
      <c r="C49" t="s">
        <v>1202</v>
      </c>
      <c r="D49" t="s">
        <v>1183</v>
      </c>
      <c r="E49">
        <v>9.99</v>
      </c>
      <c r="F49" t="s">
        <v>1266</v>
      </c>
      <c r="G49" t="s">
        <v>1268</v>
      </c>
    </row>
    <row r="50" spans="1:7" x14ac:dyDescent="0.55000000000000004">
      <c r="A50">
        <v>872</v>
      </c>
      <c r="B50" t="s">
        <v>1269</v>
      </c>
      <c r="C50" t="s">
        <v>1202</v>
      </c>
      <c r="D50" t="s">
        <v>1183</v>
      </c>
      <c r="E50">
        <v>8.99</v>
      </c>
      <c r="F50" t="s">
        <v>1266</v>
      </c>
      <c r="G50" t="s">
        <v>1269</v>
      </c>
    </row>
    <row r="51" spans="1:7" x14ac:dyDescent="0.55000000000000004">
      <c r="A51">
        <v>873</v>
      </c>
      <c r="B51" t="s">
        <v>1270</v>
      </c>
      <c r="C51" t="s">
        <v>1202</v>
      </c>
      <c r="D51" t="s">
        <v>1183</v>
      </c>
      <c r="E51">
        <v>2.29</v>
      </c>
      <c r="F51" t="s">
        <v>1271</v>
      </c>
      <c r="G51" t="s">
        <v>1272</v>
      </c>
    </row>
    <row r="52" spans="1:7" x14ac:dyDescent="0.55000000000000004">
      <c r="A52">
        <v>874</v>
      </c>
      <c r="B52" t="s">
        <v>1273</v>
      </c>
      <c r="C52" t="s">
        <v>1189</v>
      </c>
      <c r="D52" t="s">
        <v>1183</v>
      </c>
      <c r="E52">
        <v>8.99</v>
      </c>
      <c r="F52" t="s">
        <v>1190</v>
      </c>
      <c r="G52" t="s">
        <v>1274</v>
      </c>
    </row>
    <row r="53" spans="1:7" x14ac:dyDescent="0.55000000000000004">
      <c r="A53">
        <v>876</v>
      </c>
      <c r="B53" t="s">
        <v>1275</v>
      </c>
      <c r="C53" t="s">
        <v>1202</v>
      </c>
      <c r="D53" t="s">
        <v>1183</v>
      </c>
      <c r="E53">
        <v>120</v>
      </c>
      <c r="F53" t="s">
        <v>1276</v>
      </c>
      <c r="G53" t="s">
        <v>1275</v>
      </c>
    </row>
    <row r="54" spans="1:7" x14ac:dyDescent="0.55000000000000004">
      <c r="A54">
        <v>877</v>
      </c>
      <c r="B54" t="s">
        <v>1277</v>
      </c>
      <c r="C54" t="s">
        <v>1202</v>
      </c>
      <c r="D54" t="s">
        <v>1183</v>
      </c>
      <c r="E54">
        <v>7.95</v>
      </c>
      <c r="F54" t="s">
        <v>1278</v>
      </c>
      <c r="G54" t="s">
        <v>1279</v>
      </c>
    </row>
    <row r="55" spans="1:7" x14ac:dyDescent="0.55000000000000004">
      <c r="A55">
        <v>878</v>
      </c>
      <c r="B55" t="s">
        <v>1280</v>
      </c>
      <c r="C55" t="s">
        <v>1202</v>
      </c>
      <c r="D55" t="s">
        <v>1183</v>
      </c>
      <c r="E55">
        <v>21.98</v>
      </c>
      <c r="F55" t="s">
        <v>1281</v>
      </c>
      <c r="G55" t="s">
        <v>1280</v>
      </c>
    </row>
    <row r="56" spans="1:7" x14ac:dyDescent="0.55000000000000004">
      <c r="A56">
        <v>879</v>
      </c>
      <c r="B56" t="s">
        <v>1282</v>
      </c>
      <c r="C56" t="s">
        <v>1202</v>
      </c>
      <c r="D56" t="s">
        <v>1183</v>
      </c>
      <c r="E56">
        <v>159</v>
      </c>
      <c r="F56" t="s">
        <v>1283</v>
      </c>
      <c r="G56" t="s">
        <v>1282</v>
      </c>
    </row>
    <row r="57" spans="1:7" x14ac:dyDescent="0.55000000000000004">
      <c r="A57">
        <v>882</v>
      </c>
      <c r="B57" t="s">
        <v>1284</v>
      </c>
      <c r="C57" t="s">
        <v>1285</v>
      </c>
      <c r="D57" t="s">
        <v>1183</v>
      </c>
      <c r="E57">
        <v>53.99</v>
      </c>
      <c r="F57" t="s">
        <v>1199</v>
      </c>
      <c r="G57" t="s">
        <v>1286</v>
      </c>
    </row>
    <row r="58" spans="1:7" x14ac:dyDescent="0.55000000000000004">
      <c r="A58">
        <v>894</v>
      </c>
      <c r="B58" t="s">
        <v>1287</v>
      </c>
      <c r="C58" t="s">
        <v>1288</v>
      </c>
      <c r="D58" t="s">
        <v>1183</v>
      </c>
      <c r="E58">
        <v>121.46</v>
      </c>
      <c r="F58" t="s">
        <v>1289</v>
      </c>
      <c r="G58" t="s">
        <v>1287</v>
      </c>
    </row>
    <row r="59" spans="1:7" x14ac:dyDescent="0.55000000000000004">
      <c r="A59">
        <v>907</v>
      </c>
      <c r="B59" t="s">
        <v>1290</v>
      </c>
      <c r="C59" t="s">
        <v>1288</v>
      </c>
      <c r="D59" t="s">
        <v>1183</v>
      </c>
      <c r="E59">
        <v>106.5</v>
      </c>
      <c r="F59" t="s">
        <v>1291</v>
      </c>
      <c r="G59" t="s">
        <v>1290</v>
      </c>
    </row>
    <row r="60" spans="1:7" x14ac:dyDescent="0.55000000000000004">
      <c r="A60">
        <v>908</v>
      </c>
      <c r="B60" t="s">
        <v>1292</v>
      </c>
      <c r="C60" t="s">
        <v>1202</v>
      </c>
      <c r="D60" t="s">
        <v>1183</v>
      </c>
      <c r="E60">
        <v>27.12</v>
      </c>
      <c r="F60" t="s">
        <v>1293</v>
      </c>
      <c r="G60" t="s">
        <v>1294</v>
      </c>
    </row>
    <row r="61" spans="1:7" x14ac:dyDescent="0.55000000000000004">
      <c r="A61">
        <v>909</v>
      </c>
      <c r="B61" t="s">
        <v>1295</v>
      </c>
      <c r="C61" t="s">
        <v>1202</v>
      </c>
      <c r="D61" t="s">
        <v>1183</v>
      </c>
      <c r="E61">
        <v>39.14</v>
      </c>
      <c r="F61" t="s">
        <v>1293</v>
      </c>
      <c r="G61" t="s">
        <v>1296</v>
      </c>
    </row>
    <row r="62" spans="1:7" x14ac:dyDescent="0.55000000000000004">
      <c r="A62">
        <v>910</v>
      </c>
      <c r="B62" t="s">
        <v>1297</v>
      </c>
      <c r="C62" t="s">
        <v>1202</v>
      </c>
      <c r="D62" t="s">
        <v>1183</v>
      </c>
      <c r="E62">
        <v>52.64</v>
      </c>
      <c r="F62" t="s">
        <v>1293</v>
      </c>
      <c r="G62" t="s">
        <v>1298</v>
      </c>
    </row>
    <row r="63" spans="1:7" x14ac:dyDescent="0.55000000000000004">
      <c r="A63">
        <v>911</v>
      </c>
      <c r="B63" t="s">
        <v>1299</v>
      </c>
      <c r="C63" t="s">
        <v>1202</v>
      </c>
      <c r="D63" t="s">
        <v>1183</v>
      </c>
      <c r="E63">
        <v>27.12</v>
      </c>
      <c r="F63" t="s">
        <v>1293</v>
      </c>
      <c r="G63" t="s">
        <v>1300</v>
      </c>
    </row>
    <row r="64" spans="1:7" x14ac:dyDescent="0.55000000000000004">
      <c r="A64">
        <v>912</v>
      </c>
      <c r="B64" t="s">
        <v>1301</v>
      </c>
      <c r="C64" t="s">
        <v>1202</v>
      </c>
      <c r="D64" t="s">
        <v>1183</v>
      </c>
      <c r="E64">
        <v>39.14</v>
      </c>
      <c r="F64" t="s">
        <v>1293</v>
      </c>
      <c r="G64" t="s">
        <v>1302</v>
      </c>
    </row>
    <row r="65" spans="1:7" x14ac:dyDescent="0.55000000000000004">
      <c r="A65">
        <v>913</v>
      </c>
      <c r="B65" t="s">
        <v>1303</v>
      </c>
      <c r="C65" t="s">
        <v>1202</v>
      </c>
      <c r="D65" t="s">
        <v>1183</v>
      </c>
      <c r="E65">
        <v>52.64</v>
      </c>
      <c r="F65" t="s">
        <v>1293</v>
      </c>
      <c r="G65" t="s">
        <v>1304</v>
      </c>
    </row>
    <row r="66" spans="1:7" x14ac:dyDescent="0.55000000000000004">
      <c r="A66">
        <v>914</v>
      </c>
      <c r="B66" t="s">
        <v>1305</v>
      </c>
      <c r="C66" t="s">
        <v>1202</v>
      </c>
      <c r="D66" t="s">
        <v>1183</v>
      </c>
      <c r="E66">
        <v>27.12</v>
      </c>
      <c r="F66" t="s">
        <v>1293</v>
      </c>
      <c r="G66" t="s">
        <v>1305</v>
      </c>
    </row>
    <row r="67" spans="1:7" x14ac:dyDescent="0.55000000000000004">
      <c r="A67">
        <v>915</v>
      </c>
      <c r="B67" t="s">
        <v>1306</v>
      </c>
      <c r="C67" t="s">
        <v>1202</v>
      </c>
      <c r="D67" t="s">
        <v>1183</v>
      </c>
      <c r="E67">
        <v>39.14</v>
      </c>
      <c r="F67" t="s">
        <v>1293</v>
      </c>
      <c r="G67" t="s">
        <v>1306</v>
      </c>
    </row>
    <row r="68" spans="1:7" x14ac:dyDescent="0.55000000000000004">
      <c r="A68">
        <v>916</v>
      </c>
      <c r="B68" t="s">
        <v>1307</v>
      </c>
      <c r="C68" t="s">
        <v>1202</v>
      </c>
      <c r="D68" t="s">
        <v>1183</v>
      </c>
      <c r="E68">
        <v>52.64</v>
      </c>
      <c r="F68" t="s">
        <v>1293</v>
      </c>
      <c r="G68" t="s">
        <v>1307</v>
      </c>
    </row>
    <row r="69" spans="1:7" x14ac:dyDescent="0.55000000000000004">
      <c r="A69">
        <v>921</v>
      </c>
      <c r="B69" t="s">
        <v>1308</v>
      </c>
      <c r="C69" t="s">
        <v>1202</v>
      </c>
      <c r="D69" t="s">
        <v>1183</v>
      </c>
      <c r="E69">
        <v>4.99</v>
      </c>
      <c r="F69" t="s">
        <v>1271</v>
      </c>
      <c r="G69" t="s">
        <v>1308</v>
      </c>
    </row>
    <row r="70" spans="1:7" x14ac:dyDescent="0.55000000000000004">
      <c r="A70">
        <v>922</v>
      </c>
      <c r="B70" t="s">
        <v>1309</v>
      </c>
      <c r="C70" t="s">
        <v>1202</v>
      </c>
      <c r="D70" t="s">
        <v>1183</v>
      </c>
      <c r="E70">
        <v>3.99</v>
      </c>
      <c r="F70" t="s">
        <v>1271</v>
      </c>
      <c r="G70" t="s">
        <v>1309</v>
      </c>
    </row>
    <row r="71" spans="1:7" x14ac:dyDescent="0.55000000000000004">
      <c r="A71">
        <v>923</v>
      </c>
      <c r="B71" t="s">
        <v>1310</v>
      </c>
      <c r="C71" t="s">
        <v>1202</v>
      </c>
      <c r="D71" t="s">
        <v>1183</v>
      </c>
      <c r="E71">
        <v>4.99</v>
      </c>
      <c r="F71" t="s">
        <v>1271</v>
      </c>
      <c r="G71" t="s">
        <v>1310</v>
      </c>
    </row>
    <row r="72" spans="1:7" x14ac:dyDescent="0.55000000000000004">
      <c r="A72">
        <v>928</v>
      </c>
      <c r="B72" t="s">
        <v>1311</v>
      </c>
      <c r="C72" t="s">
        <v>1202</v>
      </c>
      <c r="D72" t="s">
        <v>1183</v>
      </c>
      <c r="E72">
        <v>24.99</v>
      </c>
      <c r="F72" t="s">
        <v>1271</v>
      </c>
      <c r="G72" t="s">
        <v>1311</v>
      </c>
    </row>
    <row r="73" spans="1:7" x14ac:dyDescent="0.55000000000000004">
      <c r="A73">
        <v>929</v>
      </c>
      <c r="B73" t="s">
        <v>1312</v>
      </c>
      <c r="C73" t="s">
        <v>1202</v>
      </c>
      <c r="D73" t="s">
        <v>1183</v>
      </c>
      <c r="E73">
        <v>29.99</v>
      </c>
      <c r="F73" t="s">
        <v>1271</v>
      </c>
      <c r="G73" t="s">
        <v>1312</v>
      </c>
    </row>
    <row r="74" spans="1:7" x14ac:dyDescent="0.55000000000000004">
      <c r="A74">
        <v>930</v>
      </c>
      <c r="B74" t="s">
        <v>1313</v>
      </c>
      <c r="C74" t="s">
        <v>1202</v>
      </c>
      <c r="D74" t="s">
        <v>1183</v>
      </c>
      <c r="E74">
        <v>35</v>
      </c>
      <c r="F74" t="s">
        <v>1271</v>
      </c>
      <c r="G74" t="s">
        <v>1313</v>
      </c>
    </row>
    <row r="75" spans="1:7" x14ac:dyDescent="0.55000000000000004">
      <c r="A75">
        <v>931</v>
      </c>
      <c r="B75" t="s">
        <v>1314</v>
      </c>
      <c r="C75" t="s">
        <v>1202</v>
      </c>
      <c r="D75" t="s">
        <v>1183</v>
      </c>
      <c r="E75">
        <v>21.49</v>
      </c>
      <c r="F75" t="s">
        <v>1271</v>
      </c>
      <c r="G75" t="s">
        <v>1314</v>
      </c>
    </row>
    <row r="76" spans="1:7" x14ac:dyDescent="0.55000000000000004">
      <c r="A76">
        <v>932</v>
      </c>
      <c r="B76" t="s">
        <v>1315</v>
      </c>
      <c r="C76" t="s">
        <v>1202</v>
      </c>
      <c r="D76" t="s">
        <v>1183</v>
      </c>
      <c r="E76">
        <v>24.99</v>
      </c>
      <c r="F76" t="s">
        <v>1271</v>
      </c>
      <c r="G76" t="s">
        <v>1315</v>
      </c>
    </row>
    <row r="77" spans="1:7" x14ac:dyDescent="0.55000000000000004">
      <c r="A77">
        <v>933</v>
      </c>
      <c r="B77" t="s">
        <v>1316</v>
      </c>
      <c r="C77" t="s">
        <v>1202</v>
      </c>
      <c r="D77" t="s">
        <v>1183</v>
      </c>
      <c r="E77">
        <v>32.6</v>
      </c>
      <c r="F77" t="s">
        <v>1271</v>
      </c>
      <c r="G77" t="s">
        <v>1316</v>
      </c>
    </row>
    <row r="78" spans="1:7" x14ac:dyDescent="0.55000000000000004">
      <c r="A78">
        <v>934</v>
      </c>
      <c r="B78" t="s">
        <v>1317</v>
      </c>
      <c r="C78" t="s">
        <v>1202</v>
      </c>
      <c r="D78" t="s">
        <v>1183</v>
      </c>
      <c r="E78">
        <v>28.99</v>
      </c>
      <c r="F78" t="s">
        <v>1271</v>
      </c>
      <c r="G78" t="s">
        <v>1317</v>
      </c>
    </row>
    <row r="79" spans="1:7" x14ac:dyDescent="0.55000000000000004">
      <c r="A79">
        <v>935</v>
      </c>
      <c r="B79" t="s">
        <v>1318</v>
      </c>
      <c r="C79" t="s">
        <v>1319</v>
      </c>
      <c r="D79" t="s">
        <v>1183</v>
      </c>
      <c r="E79">
        <v>40.49</v>
      </c>
      <c r="F79" t="s">
        <v>1320</v>
      </c>
      <c r="G79" t="s">
        <v>1318</v>
      </c>
    </row>
    <row r="80" spans="1:7" x14ac:dyDescent="0.55000000000000004">
      <c r="A80">
        <v>936</v>
      </c>
      <c r="B80" t="s">
        <v>1321</v>
      </c>
      <c r="C80" t="s">
        <v>1319</v>
      </c>
      <c r="D80" t="s">
        <v>1183</v>
      </c>
      <c r="E80">
        <v>62.09</v>
      </c>
      <c r="F80" t="s">
        <v>1320</v>
      </c>
      <c r="G80" t="s">
        <v>1321</v>
      </c>
    </row>
    <row r="81" spans="1:7" x14ac:dyDescent="0.55000000000000004">
      <c r="A81">
        <v>937</v>
      </c>
      <c r="B81" t="s">
        <v>1322</v>
      </c>
      <c r="C81" t="s">
        <v>1319</v>
      </c>
      <c r="D81" t="s">
        <v>1183</v>
      </c>
      <c r="E81">
        <v>80.989999999999995</v>
      </c>
      <c r="F81" t="s">
        <v>1320</v>
      </c>
      <c r="G81" t="s">
        <v>1322</v>
      </c>
    </row>
    <row r="82" spans="1:7" x14ac:dyDescent="0.55000000000000004">
      <c r="A82">
        <v>938</v>
      </c>
      <c r="B82" t="s">
        <v>1323</v>
      </c>
      <c r="C82" t="s">
        <v>1319</v>
      </c>
      <c r="D82" t="s">
        <v>1183</v>
      </c>
      <c r="E82">
        <v>40.49</v>
      </c>
      <c r="F82" t="s">
        <v>1320</v>
      </c>
      <c r="G82" t="s">
        <v>1323</v>
      </c>
    </row>
    <row r="83" spans="1:7" x14ac:dyDescent="0.55000000000000004">
      <c r="A83">
        <v>939</v>
      </c>
      <c r="B83" t="s">
        <v>1324</v>
      </c>
      <c r="C83" t="s">
        <v>1319</v>
      </c>
      <c r="D83" t="s">
        <v>1183</v>
      </c>
      <c r="E83">
        <v>62.09</v>
      </c>
      <c r="F83" t="s">
        <v>1320</v>
      </c>
      <c r="G83" t="s">
        <v>1324</v>
      </c>
    </row>
    <row r="84" spans="1:7" x14ac:dyDescent="0.55000000000000004">
      <c r="A84">
        <v>940</v>
      </c>
      <c r="B84" t="s">
        <v>1325</v>
      </c>
      <c r="C84" t="s">
        <v>1319</v>
      </c>
      <c r="D84" t="s">
        <v>1183</v>
      </c>
      <c r="E84">
        <v>80.989999999999995</v>
      </c>
      <c r="F84" t="s">
        <v>1320</v>
      </c>
      <c r="G84" t="s">
        <v>1325</v>
      </c>
    </row>
    <row r="85" spans="1:7" x14ac:dyDescent="0.55000000000000004">
      <c r="A85">
        <v>941</v>
      </c>
      <c r="B85" t="s">
        <v>1326</v>
      </c>
      <c r="C85" t="s">
        <v>1319</v>
      </c>
      <c r="D85" t="s">
        <v>1183</v>
      </c>
      <c r="E85">
        <v>80.989999999999995</v>
      </c>
      <c r="F85" t="s">
        <v>1320</v>
      </c>
      <c r="G85" t="s">
        <v>1326</v>
      </c>
    </row>
    <row r="86" spans="1:7" x14ac:dyDescent="0.55000000000000004">
      <c r="A86">
        <v>945</v>
      </c>
      <c r="B86" t="s">
        <v>1327</v>
      </c>
      <c r="C86" t="s">
        <v>1288</v>
      </c>
      <c r="D86" t="s">
        <v>1183</v>
      </c>
      <c r="E86">
        <v>91.49</v>
      </c>
      <c r="F86" t="s">
        <v>1289</v>
      </c>
      <c r="G86" t="s">
        <v>1327</v>
      </c>
    </row>
    <row r="87" spans="1:7" x14ac:dyDescent="0.55000000000000004">
      <c r="A87">
        <v>946</v>
      </c>
      <c r="B87" t="s">
        <v>1328</v>
      </c>
      <c r="C87" t="s">
        <v>1202</v>
      </c>
      <c r="D87" t="s">
        <v>1183</v>
      </c>
      <c r="E87">
        <v>46.09</v>
      </c>
      <c r="F87" t="s">
        <v>1211</v>
      </c>
      <c r="G87" t="s">
        <v>1328</v>
      </c>
    </row>
    <row r="88" spans="1:7" x14ac:dyDescent="0.55000000000000004">
      <c r="A88">
        <v>947</v>
      </c>
      <c r="B88" t="s">
        <v>1329</v>
      </c>
      <c r="C88" t="s">
        <v>1202</v>
      </c>
      <c r="D88" t="s">
        <v>1183</v>
      </c>
      <c r="E88">
        <v>91.57</v>
      </c>
      <c r="F88" t="s">
        <v>1211</v>
      </c>
      <c r="G88" t="s">
        <v>1329</v>
      </c>
    </row>
    <row r="89" spans="1:7" x14ac:dyDescent="0.55000000000000004">
      <c r="A89">
        <v>948</v>
      </c>
      <c r="B89" t="s">
        <v>1330</v>
      </c>
      <c r="C89" t="s">
        <v>1288</v>
      </c>
      <c r="D89" t="s">
        <v>1183</v>
      </c>
      <c r="E89">
        <v>106.5</v>
      </c>
      <c r="F89" t="s">
        <v>1291</v>
      </c>
      <c r="G89" t="s">
        <v>1330</v>
      </c>
    </row>
    <row r="90" spans="1:7" x14ac:dyDescent="0.55000000000000004">
      <c r="A90">
        <v>949</v>
      </c>
      <c r="B90" t="s">
        <v>1331</v>
      </c>
      <c r="C90" t="s">
        <v>1187</v>
      </c>
      <c r="D90" t="s">
        <v>1183</v>
      </c>
      <c r="E90">
        <v>175.49</v>
      </c>
      <c r="F90" t="s">
        <v>1332</v>
      </c>
      <c r="G90" t="s">
        <v>1331</v>
      </c>
    </row>
    <row r="91" spans="1:7" x14ac:dyDescent="0.55000000000000004">
      <c r="A91">
        <v>950</v>
      </c>
      <c r="B91" t="s">
        <v>1333</v>
      </c>
      <c r="C91" t="s">
        <v>1187</v>
      </c>
      <c r="D91" t="s">
        <v>1183</v>
      </c>
      <c r="E91">
        <v>256.49</v>
      </c>
      <c r="F91" t="s">
        <v>1332</v>
      </c>
      <c r="G91" t="s">
        <v>1333</v>
      </c>
    </row>
    <row r="92" spans="1:7" x14ac:dyDescent="0.55000000000000004">
      <c r="A92">
        <v>951</v>
      </c>
      <c r="B92" t="s">
        <v>1334</v>
      </c>
      <c r="C92" t="s">
        <v>1187</v>
      </c>
      <c r="D92" t="s">
        <v>1183</v>
      </c>
      <c r="E92">
        <v>404.99</v>
      </c>
      <c r="F92" t="s">
        <v>1332</v>
      </c>
      <c r="G92" t="s">
        <v>1334</v>
      </c>
    </row>
    <row r="93" spans="1:7" x14ac:dyDescent="0.55000000000000004">
      <c r="A93">
        <v>952</v>
      </c>
      <c r="B93" t="s">
        <v>1335</v>
      </c>
      <c r="C93" t="s">
        <v>1288</v>
      </c>
      <c r="D93" t="s">
        <v>1183</v>
      </c>
      <c r="E93">
        <v>20.239999999999998</v>
      </c>
      <c r="F93" t="s">
        <v>1336</v>
      </c>
      <c r="G93" t="s">
        <v>1335</v>
      </c>
    </row>
    <row r="94" spans="1:7" x14ac:dyDescent="0.55000000000000004">
      <c r="A94">
        <v>994</v>
      </c>
      <c r="B94" t="s">
        <v>1337</v>
      </c>
      <c r="C94" t="s">
        <v>1202</v>
      </c>
      <c r="D94" t="s">
        <v>1183</v>
      </c>
      <c r="E94">
        <v>53.99</v>
      </c>
      <c r="F94" t="s">
        <v>1338</v>
      </c>
      <c r="G94" t="s">
        <v>1337</v>
      </c>
    </row>
    <row r="95" spans="1:7" x14ac:dyDescent="0.55000000000000004">
      <c r="A95">
        <v>995</v>
      </c>
      <c r="B95" t="s">
        <v>1339</v>
      </c>
      <c r="C95" t="s">
        <v>1202</v>
      </c>
      <c r="D95" t="s">
        <v>1183</v>
      </c>
      <c r="E95">
        <v>101.24</v>
      </c>
      <c r="F95" t="s">
        <v>1338</v>
      </c>
      <c r="G95" t="s">
        <v>1339</v>
      </c>
    </row>
    <row r="96" spans="1:7" x14ac:dyDescent="0.55000000000000004">
      <c r="A96">
        <v>996</v>
      </c>
      <c r="B96" t="s">
        <v>1340</v>
      </c>
      <c r="C96" t="s">
        <v>1202</v>
      </c>
      <c r="D96" t="s">
        <v>1183</v>
      </c>
      <c r="E96">
        <v>121.49</v>
      </c>
      <c r="F96" t="s">
        <v>1338</v>
      </c>
      <c r="G96" t="s">
        <v>1340</v>
      </c>
    </row>
    <row r="97" spans="1:7" x14ac:dyDescent="0.55000000000000004">
      <c r="A97">
        <v>680</v>
      </c>
      <c r="B97" t="s">
        <v>1341</v>
      </c>
      <c r="C97" t="s">
        <v>1187</v>
      </c>
      <c r="D97" t="s">
        <v>1342</v>
      </c>
      <c r="E97">
        <v>1431.5</v>
      </c>
      <c r="F97" t="s">
        <v>1343</v>
      </c>
      <c r="G97" t="s">
        <v>1344</v>
      </c>
    </row>
    <row r="98" spans="1:7" x14ac:dyDescent="0.55000000000000004">
      <c r="A98">
        <v>706</v>
      </c>
      <c r="B98" t="s">
        <v>1345</v>
      </c>
      <c r="C98" t="s">
        <v>1182</v>
      </c>
      <c r="D98" t="s">
        <v>1342</v>
      </c>
      <c r="E98">
        <v>1431.5</v>
      </c>
      <c r="F98" t="s">
        <v>1343</v>
      </c>
      <c r="G98" t="s">
        <v>1344</v>
      </c>
    </row>
    <row r="99" spans="1:7" x14ac:dyDescent="0.55000000000000004">
      <c r="A99">
        <v>710</v>
      </c>
      <c r="B99" t="s">
        <v>1346</v>
      </c>
      <c r="C99" t="s">
        <v>1189</v>
      </c>
      <c r="D99" t="s">
        <v>1347</v>
      </c>
      <c r="E99">
        <v>9.5</v>
      </c>
      <c r="F99" t="s">
        <v>1190</v>
      </c>
      <c r="G99" t="s">
        <v>1191</v>
      </c>
    </row>
    <row r="100" spans="1:7" x14ac:dyDescent="0.55000000000000004">
      <c r="A100">
        <v>713</v>
      </c>
      <c r="B100" t="s">
        <v>1348</v>
      </c>
      <c r="C100" t="s">
        <v>1195</v>
      </c>
      <c r="D100" t="s">
        <v>1349</v>
      </c>
      <c r="E100">
        <v>49.99</v>
      </c>
      <c r="F100" t="s">
        <v>1199</v>
      </c>
      <c r="G100" t="s">
        <v>1200</v>
      </c>
    </row>
    <row r="101" spans="1:7" x14ac:dyDescent="0.55000000000000004">
      <c r="A101">
        <v>715</v>
      </c>
      <c r="B101" t="s">
        <v>1350</v>
      </c>
      <c r="C101" t="s">
        <v>1195</v>
      </c>
      <c r="D101" t="s">
        <v>1347</v>
      </c>
      <c r="E101">
        <v>49.99</v>
      </c>
      <c r="F101" t="s">
        <v>1199</v>
      </c>
      <c r="G101" t="s">
        <v>1200</v>
      </c>
    </row>
    <row r="102" spans="1:7" x14ac:dyDescent="0.55000000000000004">
      <c r="A102">
        <v>716</v>
      </c>
      <c r="B102" t="s">
        <v>1351</v>
      </c>
      <c r="C102" t="s">
        <v>1195</v>
      </c>
      <c r="D102" t="s">
        <v>1352</v>
      </c>
      <c r="E102">
        <v>49.99</v>
      </c>
      <c r="F102" t="s">
        <v>1199</v>
      </c>
      <c r="G102" t="s">
        <v>1200</v>
      </c>
    </row>
    <row r="103" spans="1:7" x14ac:dyDescent="0.55000000000000004">
      <c r="A103">
        <v>717</v>
      </c>
      <c r="B103" t="s">
        <v>1353</v>
      </c>
      <c r="C103" t="s">
        <v>1182</v>
      </c>
      <c r="D103" t="s">
        <v>1354</v>
      </c>
      <c r="E103">
        <v>1431.5</v>
      </c>
      <c r="F103" t="s">
        <v>1343</v>
      </c>
      <c r="G103" t="s">
        <v>1344</v>
      </c>
    </row>
    <row r="104" spans="1:7" x14ac:dyDescent="0.55000000000000004">
      <c r="A104">
        <v>718</v>
      </c>
      <c r="B104" t="s">
        <v>1355</v>
      </c>
      <c r="C104" t="s">
        <v>1182</v>
      </c>
      <c r="D104" t="s">
        <v>1356</v>
      </c>
      <c r="E104">
        <v>1431.5</v>
      </c>
      <c r="F104" t="s">
        <v>1343</v>
      </c>
      <c r="G104" t="s">
        <v>1344</v>
      </c>
    </row>
    <row r="105" spans="1:7" x14ac:dyDescent="0.55000000000000004">
      <c r="A105">
        <v>719</v>
      </c>
      <c r="B105" t="s">
        <v>1357</v>
      </c>
      <c r="C105" t="s">
        <v>1182</v>
      </c>
      <c r="D105" t="s">
        <v>1358</v>
      </c>
      <c r="E105">
        <v>1431.5</v>
      </c>
      <c r="F105" t="s">
        <v>1343</v>
      </c>
      <c r="G105" t="s">
        <v>1344</v>
      </c>
    </row>
    <row r="106" spans="1:7" x14ac:dyDescent="0.55000000000000004">
      <c r="A106">
        <v>720</v>
      </c>
      <c r="B106" t="s">
        <v>1359</v>
      </c>
      <c r="C106" t="s">
        <v>1182</v>
      </c>
      <c r="D106" t="s">
        <v>1360</v>
      </c>
      <c r="E106">
        <v>1431.5</v>
      </c>
      <c r="F106" t="s">
        <v>1343</v>
      </c>
      <c r="G106" t="s">
        <v>1344</v>
      </c>
    </row>
    <row r="107" spans="1:7" x14ac:dyDescent="0.55000000000000004">
      <c r="A107">
        <v>721</v>
      </c>
      <c r="B107" t="s">
        <v>1361</v>
      </c>
      <c r="C107" t="s">
        <v>1182</v>
      </c>
      <c r="D107" t="s">
        <v>1362</v>
      </c>
      <c r="E107">
        <v>1431.5</v>
      </c>
      <c r="F107" t="s">
        <v>1343</v>
      </c>
      <c r="G107" t="s">
        <v>1344</v>
      </c>
    </row>
    <row r="108" spans="1:7" x14ac:dyDescent="0.55000000000000004">
      <c r="A108">
        <v>722</v>
      </c>
      <c r="B108" t="s">
        <v>1363</v>
      </c>
      <c r="C108" t="s">
        <v>1187</v>
      </c>
      <c r="D108" t="s">
        <v>1342</v>
      </c>
      <c r="E108">
        <v>337.22</v>
      </c>
      <c r="F108" t="s">
        <v>1343</v>
      </c>
      <c r="G108" t="s">
        <v>1364</v>
      </c>
    </row>
    <row r="109" spans="1:7" x14ac:dyDescent="0.55000000000000004">
      <c r="A109">
        <v>723</v>
      </c>
      <c r="B109" t="s">
        <v>1365</v>
      </c>
      <c r="C109" t="s">
        <v>1187</v>
      </c>
      <c r="D109" t="s">
        <v>1366</v>
      </c>
      <c r="E109">
        <v>337.22</v>
      </c>
      <c r="F109" t="s">
        <v>1343</v>
      </c>
      <c r="G109" t="s">
        <v>1364</v>
      </c>
    </row>
    <row r="110" spans="1:7" x14ac:dyDescent="0.55000000000000004">
      <c r="A110">
        <v>724</v>
      </c>
      <c r="B110" t="s">
        <v>1367</v>
      </c>
      <c r="C110" t="s">
        <v>1187</v>
      </c>
      <c r="D110" t="s">
        <v>1354</v>
      </c>
      <c r="E110">
        <v>337.22</v>
      </c>
      <c r="F110" t="s">
        <v>1343</v>
      </c>
      <c r="G110" t="s">
        <v>1364</v>
      </c>
    </row>
    <row r="111" spans="1:7" x14ac:dyDescent="0.55000000000000004">
      <c r="A111">
        <v>725</v>
      </c>
      <c r="B111" t="s">
        <v>1368</v>
      </c>
      <c r="C111" t="s">
        <v>1182</v>
      </c>
      <c r="D111" t="s">
        <v>1356</v>
      </c>
      <c r="E111">
        <v>337.22</v>
      </c>
      <c r="F111" t="s">
        <v>1343</v>
      </c>
      <c r="G111" t="s">
        <v>1364</v>
      </c>
    </row>
    <row r="112" spans="1:7" x14ac:dyDescent="0.55000000000000004">
      <c r="A112">
        <v>726</v>
      </c>
      <c r="B112" t="s">
        <v>1369</v>
      </c>
      <c r="C112" t="s">
        <v>1182</v>
      </c>
      <c r="D112" t="s">
        <v>1358</v>
      </c>
      <c r="E112">
        <v>337.22</v>
      </c>
      <c r="F112" t="s">
        <v>1343</v>
      </c>
      <c r="G112" t="s">
        <v>1364</v>
      </c>
    </row>
    <row r="113" spans="1:7" x14ac:dyDescent="0.55000000000000004">
      <c r="A113">
        <v>727</v>
      </c>
      <c r="B113" t="s">
        <v>1370</v>
      </c>
      <c r="C113" t="s">
        <v>1182</v>
      </c>
      <c r="D113" t="s">
        <v>1360</v>
      </c>
      <c r="E113">
        <v>337.22</v>
      </c>
      <c r="F113" t="s">
        <v>1343</v>
      </c>
      <c r="G113" t="s">
        <v>1364</v>
      </c>
    </row>
    <row r="114" spans="1:7" x14ac:dyDescent="0.55000000000000004">
      <c r="A114">
        <v>728</v>
      </c>
      <c r="B114" t="s">
        <v>1371</v>
      </c>
      <c r="C114" t="s">
        <v>1182</v>
      </c>
      <c r="D114" t="s">
        <v>1342</v>
      </c>
      <c r="E114">
        <v>337.22</v>
      </c>
      <c r="F114" t="s">
        <v>1343</v>
      </c>
      <c r="G114" t="s">
        <v>1364</v>
      </c>
    </row>
    <row r="115" spans="1:7" x14ac:dyDescent="0.55000000000000004">
      <c r="A115">
        <v>729</v>
      </c>
      <c r="B115" t="s">
        <v>1372</v>
      </c>
      <c r="C115" t="s">
        <v>1182</v>
      </c>
      <c r="D115" t="s">
        <v>1366</v>
      </c>
      <c r="E115">
        <v>337.22</v>
      </c>
      <c r="F115" t="s">
        <v>1343</v>
      </c>
      <c r="G115" t="s">
        <v>1364</v>
      </c>
    </row>
    <row r="116" spans="1:7" x14ac:dyDescent="0.55000000000000004">
      <c r="A116">
        <v>730</v>
      </c>
      <c r="B116" t="s">
        <v>1373</v>
      </c>
      <c r="C116" t="s">
        <v>1182</v>
      </c>
      <c r="D116" t="s">
        <v>1354</v>
      </c>
      <c r="E116">
        <v>337.22</v>
      </c>
      <c r="F116" t="s">
        <v>1343</v>
      </c>
      <c r="G116" t="s">
        <v>1364</v>
      </c>
    </row>
    <row r="117" spans="1:7" x14ac:dyDescent="0.55000000000000004">
      <c r="A117">
        <v>731</v>
      </c>
      <c r="B117" t="s">
        <v>1374</v>
      </c>
      <c r="C117" t="s">
        <v>1182</v>
      </c>
      <c r="D117" t="s">
        <v>1356</v>
      </c>
      <c r="E117">
        <v>594.83000000000004</v>
      </c>
      <c r="F117" t="s">
        <v>1343</v>
      </c>
      <c r="G117" t="s">
        <v>1375</v>
      </c>
    </row>
    <row r="118" spans="1:7" x14ac:dyDescent="0.55000000000000004">
      <c r="A118">
        <v>732</v>
      </c>
      <c r="B118" t="s">
        <v>1376</v>
      </c>
      <c r="C118" t="s">
        <v>1182</v>
      </c>
      <c r="D118" t="s">
        <v>1358</v>
      </c>
      <c r="E118">
        <v>594.83000000000004</v>
      </c>
      <c r="F118" t="s">
        <v>1343</v>
      </c>
      <c r="G118" t="s">
        <v>1375</v>
      </c>
    </row>
    <row r="119" spans="1:7" x14ac:dyDescent="0.55000000000000004">
      <c r="A119">
        <v>733</v>
      </c>
      <c r="B119" t="s">
        <v>1377</v>
      </c>
      <c r="C119" t="s">
        <v>1182</v>
      </c>
      <c r="D119" t="s">
        <v>1360</v>
      </c>
      <c r="E119">
        <v>594.83000000000004</v>
      </c>
      <c r="F119" t="s">
        <v>1343</v>
      </c>
      <c r="G119" t="s">
        <v>1375</v>
      </c>
    </row>
    <row r="120" spans="1:7" x14ac:dyDescent="0.55000000000000004">
      <c r="A120">
        <v>734</v>
      </c>
      <c r="B120" t="s">
        <v>1378</v>
      </c>
      <c r="C120" t="s">
        <v>1182</v>
      </c>
      <c r="D120" t="s">
        <v>1342</v>
      </c>
      <c r="E120">
        <v>594.83000000000004</v>
      </c>
      <c r="F120" t="s">
        <v>1343</v>
      </c>
      <c r="G120" t="s">
        <v>1375</v>
      </c>
    </row>
    <row r="121" spans="1:7" x14ac:dyDescent="0.55000000000000004">
      <c r="A121">
        <v>735</v>
      </c>
      <c r="B121" t="s">
        <v>1379</v>
      </c>
      <c r="C121" t="s">
        <v>1182</v>
      </c>
      <c r="D121" t="s">
        <v>1366</v>
      </c>
      <c r="E121">
        <v>594.83000000000004</v>
      </c>
      <c r="F121" t="s">
        <v>1343</v>
      </c>
      <c r="G121" t="s">
        <v>1375</v>
      </c>
    </row>
    <row r="122" spans="1:7" x14ac:dyDescent="0.55000000000000004">
      <c r="A122">
        <v>736</v>
      </c>
      <c r="B122" t="s">
        <v>1380</v>
      </c>
      <c r="C122" t="s">
        <v>1187</v>
      </c>
      <c r="D122" t="s">
        <v>1356</v>
      </c>
      <c r="E122">
        <v>337.22</v>
      </c>
      <c r="F122" t="s">
        <v>1343</v>
      </c>
      <c r="G122" t="s">
        <v>1364</v>
      </c>
    </row>
    <row r="123" spans="1:7" x14ac:dyDescent="0.55000000000000004">
      <c r="A123">
        <v>737</v>
      </c>
      <c r="B123" t="s">
        <v>1381</v>
      </c>
      <c r="C123" t="s">
        <v>1187</v>
      </c>
      <c r="D123" t="s">
        <v>1358</v>
      </c>
      <c r="E123">
        <v>337.22</v>
      </c>
      <c r="F123" t="s">
        <v>1343</v>
      </c>
      <c r="G123" t="s">
        <v>1364</v>
      </c>
    </row>
    <row r="124" spans="1:7" x14ac:dyDescent="0.55000000000000004">
      <c r="A124">
        <v>738</v>
      </c>
      <c r="B124" t="s">
        <v>1382</v>
      </c>
      <c r="C124" t="s">
        <v>1187</v>
      </c>
      <c r="D124" t="s">
        <v>1360</v>
      </c>
      <c r="E124">
        <v>337.22</v>
      </c>
      <c r="F124" t="s">
        <v>1343</v>
      </c>
      <c r="G124" t="s">
        <v>1364</v>
      </c>
    </row>
    <row r="125" spans="1:7" x14ac:dyDescent="0.55000000000000004">
      <c r="A125">
        <v>739</v>
      </c>
      <c r="B125" t="s">
        <v>1383</v>
      </c>
      <c r="C125" t="s">
        <v>1288</v>
      </c>
      <c r="D125" t="s">
        <v>1384</v>
      </c>
      <c r="E125">
        <v>1364.5</v>
      </c>
      <c r="F125" t="s">
        <v>1385</v>
      </c>
      <c r="G125" t="s">
        <v>1386</v>
      </c>
    </row>
    <row r="126" spans="1:7" x14ac:dyDescent="0.55000000000000004">
      <c r="A126">
        <v>740</v>
      </c>
      <c r="B126" t="s">
        <v>1387</v>
      </c>
      <c r="C126" t="s">
        <v>1288</v>
      </c>
      <c r="D126" t="s">
        <v>1356</v>
      </c>
      <c r="E126">
        <v>1364.5</v>
      </c>
      <c r="F126" t="s">
        <v>1385</v>
      </c>
      <c r="G126" t="s">
        <v>1386</v>
      </c>
    </row>
    <row r="127" spans="1:7" x14ac:dyDescent="0.55000000000000004">
      <c r="A127">
        <v>741</v>
      </c>
      <c r="B127" t="s">
        <v>1388</v>
      </c>
      <c r="C127" t="s">
        <v>1288</v>
      </c>
      <c r="D127" t="s">
        <v>1358</v>
      </c>
      <c r="E127">
        <v>1364.5</v>
      </c>
      <c r="F127" t="s">
        <v>1385</v>
      </c>
      <c r="G127" t="s">
        <v>1386</v>
      </c>
    </row>
    <row r="128" spans="1:7" x14ac:dyDescent="0.55000000000000004">
      <c r="A128">
        <v>742</v>
      </c>
      <c r="B128" t="s">
        <v>1389</v>
      </c>
      <c r="C128" t="s">
        <v>1288</v>
      </c>
      <c r="D128" t="s">
        <v>1390</v>
      </c>
      <c r="E128">
        <v>1364.5</v>
      </c>
      <c r="F128" t="s">
        <v>1385</v>
      </c>
      <c r="G128" t="s">
        <v>1386</v>
      </c>
    </row>
    <row r="129" spans="1:7" x14ac:dyDescent="0.55000000000000004">
      <c r="A129">
        <v>743</v>
      </c>
      <c r="B129" t="s">
        <v>1391</v>
      </c>
      <c r="C129" t="s">
        <v>1187</v>
      </c>
      <c r="D129" t="s">
        <v>1384</v>
      </c>
      <c r="E129">
        <v>1349.6</v>
      </c>
      <c r="F129" t="s">
        <v>1385</v>
      </c>
      <c r="G129" t="s">
        <v>1386</v>
      </c>
    </row>
    <row r="130" spans="1:7" x14ac:dyDescent="0.55000000000000004">
      <c r="A130">
        <v>744</v>
      </c>
      <c r="B130" t="s">
        <v>1392</v>
      </c>
      <c r="C130" t="s">
        <v>1187</v>
      </c>
      <c r="D130" t="s">
        <v>1356</v>
      </c>
      <c r="E130">
        <v>1349.6</v>
      </c>
      <c r="F130" t="s">
        <v>1385</v>
      </c>
      <c r="G130" t="s">
        <v>1386</v>
      </c>
    </row>
    <row r="131" spans="1:7" x14ac:dyDescent="0.55000000000000004">
      <c r="A131">
        <v>745</v>
      </c>
      <c r="B131" t="s">
        <v>1393</v>
      </c>
      <c r="C131" t="s">
        <v>1187</v>
      </c>
      <c r="D131" t="s">
        <v>1358</v>
      </c>
      <c r="E131">
        <v>1349.6</v>
      </c>
      <c r="F131" t="s">
        <v>1385</v>
      </c>
      <c r="G131" t="s">
        <v>1386</v>
      </c>
    </row>
    <row r="132" spans="1:7" x14ac:dyDescent="0.55000000000000004">
      <c r="A132">
        <v>746</v>
      </c>
      <c r="B132" t="s">
        <v>1394</v>
      </c>
      <c r="C132" t="s">
        <v>1187</v>
      </c>
      <c r="D132" t="s">
        <v>1390</v>
      </c>
      <c r="E132">
        <v>1349.6</v>
      </c>
      <c r="F132" t="s">
        <v>1385</v>
      </c>
      <c r="G132" t="s">
        <v>1386</v>
      </c>
    </row>
    <row r="133" spans="1:7" x14ac:dyDescent="0.55000000000000004">
      <c r="A133">
        <v>747</v>
      </c>
      <c r="B133" t="s">
        <v>1395</v>
      </c>
      <c r="C133" t="s">
        <v>1187</v>
      </c>
      <c r="D133" t="s">
        <v>1396</v>
      </c>
      <c r="E133">
        <v>1349.6</v>
      </c>
      <c r="F133" t="s">
        <v>1385</v>
      </c>
      <c r="G133" t="s">
        <v>1386</v>
      </c>
    </row>
    <row r="134" spans="1:7" x14ac:dyDescent="0.55000000000000004">
      <c r="A134">
        <v>748</v>
      </c>
      <c r="B134" t="s">
        <v>1397</v>
      </c>
      <c r="C134" t="s">
        <v>1288</v>
      </c>
      <c r="D134" t="s">
        <v>1396</v>
      </c>
      <c r="E134">
        <v>1364.5</v>
      </c>
      <c r="F134" t="s">
        <v>1385</v>
      </c>
      <c r="G134" t="s">
        <v>1386</v>
      </c>
    </row>
    <row r="135" spans="1:7" x14ac:dyDescent="0.55000000000000004">
      <c r="A135">
        <v>749</v>
      </c>
      <c r="B135" t="s">
        <v>1398</v>
      </c>
      <c r="C135" t="s">
        <v>1182</v>
      </c>
      <c r="D135" t="s">
        <v>1354</v>
      </c>
      <c r="E135">
        <v>3578.27</v>
      </c>
      <c r="F135" t="s">
        <v>1399</v>
      </c>
      <c r="G135" t="s">
        <v>1400</v>
      </c>
    </row>
    <row r="136" spans="1:7" x14ac:dyDescent="0.55000000000000004">
      <c r="A136">
        <v>750</v>
      </c>
      <c r="B136" t="s">
        <v>1401</v>
      </c>
      <c r="C136" t="s">
        <v>1182</v>
      </c>
      <c r="D136" t="s">
        <v>1356</v>
      </c>
      <c r="E136">
        <v>3578.27</v>
      </c>
      <c r="F136" t="s">
        <v>1399</v>
      </c>
      <c r="G136" t="s">
        <v>1400</v>
      </c>
    </row>
    <row r="137" spans="1:7" x14ac:dyDescent="0.55000000000000004">
      <c r="A137">
        <v>751</v>
      </c>
      <c r="B137" t="s">
        <v>1402</v>
      </c>
      <c r="C137" t="s">
        <v>1182</v>
      </c>
      <c r="D137" t="s">
        <v>1358</v>
      </c>
      <c r="E137">
        <v>3578.27</v>
      </c>
      <c r="F137" t="s">
        <v>1399</v>
      </c>
      <c r="G137" t="s">
        <v>1400</v>
      </c>
    </row>
    <row r="138" spans="1:7" x14ac:dyDescent="0.55000000000000004">
      <c r="A138">
        <v>752</v>
      </c>
      <c r="B138" t="s">
        <v>1403</v>
      </c>
      <c r="C138" t="s">
        <v>1182</v>
      </c>
      <c r="D138" t="s">
        <v>1360</v>
      </c>
      <c r="E138">
        <v>3578.27</v>
      </c>
      <c r="F138" t="s">
        <v>1399</v>
      </c>
      <c r="G138" t="s">
        <v>1400</v>
      </c>
    </row>
    <row r="139" spans="1:7" x14ac:dyDescent="0.55000000000000004">
      <c r="A139">
        <v>753</v>
      </c>
      <c r="B139" t="s">
        <v>1404</v>
      </c>
      <c r="C139" t="s">
        <v>1182</v>
      </c>
      <c r="D139" t="s">
        <v>1362</v>
      </c>
      <c r="E139">
        <v>3578.27</v>
      </c>
      <c r="F139" t="s">
        <v>1399</v>
      </c>
      <c r="G139" t="s">
        <v>1400</v>
      </c>
    </row>
    <row r="140" spans="1:7" x14ac:dyDescent="0.55000000000000004">
      <c r="A140">
        <v>754</v>
      </c>
      <c r="B140" t="s">
        <v>1405</v>
      </c>
      <c r="C140" t="s">
        <v>1182</v>
      </c>
      <c r="D140" t="s">
        <v>1342</v>
      </c>
      <c r="E140">
        <v>1457.99</v>
      </c>
      <c r="F140" t="s">
        <v>1399</v>
      </c>
      <c r="G140" t="s">
        <v>1406</v>
      </c>
    </row>
    <row r="141" spans="1:7" x14ac:dyDescent="0.55000000000000004">
      <c r="A141">
        <v>755</v>
      </c>
      <c r="B141" t="s">
        <v>1407</v>
      </c>
      <c r="C141" t="s">
        <v>1182</v>
      </c>
      <c r="D141" t="s">
        <v>1366</v>
      </c>
      <c r="E141">
        <v>1457.99</v>
      </c>
      <c r="F141" t="s">
        <v>1399</v>
      </c>
      <c r="G141" t="s">
        <v>1406</v>
      </c>
    </row>
    <row r="142" spans="1:7" x14ac:dyDescent="0.55000000000000004">
      <c r="A142">
        <v>756</v>
      </c>
      <c r="B142" t="s">
        <v>1408</v>
      </c>
      <c r="C142" t="s">
        <v>1182</v>
      </c>
      <c r="D142" t="s">
        <v>1356</v>
      </c>
      <c r="E142">
        <v>1457.99</v>
      </c>
      <c r="F142" t="s">
        <v>1399</v>
      </c>
      <c r="G142" t="s">
        <v>1406</v>
      </c>
    </row>
    <row r="143" spans="1:7" x14ac:dyDescent="0.55000000000000004">
      <c r="A143">
        <v>757</v>
      </c>
      <c r="B143" t="s">
        <v>1409</v>
      </c>
      <c r="C143" t="s">
        <v>1182</v>
      </c>
      <c r="D143" t="s">
        <v>1358</v>
      </c>
      <c r="E143">
        <v>1457.99</v>
      </c>
      <c r="F143" t="s">
        <v>1399</v>
      </c>
      <c r="G143" t="s">
        <v>1406</v>
      </c>
    </row>
    <row r="144" spans="1:7" x14ac:dyDescent="0.55000000000000004">
      <c r="A144">
        <v>758</v>
      </c>
      <c r="B144" t="s">
        <v>1410</v>
      </c>
      <c r="C144" t="s">
        <v>1182</v>
      </c>
      <c r="D144" t="s">
        <v>1360</v>
      </c>
      <c r="E144">
        <v>1457.99</v>
      </c>
      <c r="F144" t="s">
        <v>1399</v>
      </c>
      <c r="G144" t="s">
        <v>1406</v>
      </c>
    </row>
    <row r="145" spans="1:7" x14ac:dyDescent="0.55000000000000004">
      <c r="A145">
        <v>759</v>
      </c>
      <c r="B145" t="s">
        <v>1411</v>
      </c>
      <c r="C145" t="s">
        <v>1182</v>
      </c>
      <c r="D145" t="s">
        <v>1342</v>
      </c>
      <c r="E145">
        <v>782.99</v>
      </c>
      <c r="F145" t="s">
        <v>1399</v>
      </c>
      <c r="G145" t="s">
        <v>1412</v>
      </c>
    </row>
    <row r="146" spans="1:7" x14ac:dyDescent="0.55000000000000004">
      <c r="A146">
        <v>760</v>
      </c>
      <c r="B146" t="s">
        <v>1413</v>
      </c>
      <c r="C146" t="s">
        <v>1182</v>
      </c>
      <c r="D146" t="s">
        <v>1366</v>
      </c>
      <c r="E146">
        <v>782.99</v>
      </c>
      <c r="F146" t="s">
        <v>1399</v>
      </c>
      <c r="G146" t="s">
        <v>1412</v>
      </c>
    </row>
    <row r="147" spans="1:7" x14ac:dyDescent="0.55000000000000004">
      <c r="A147">
        <v>761</v>
      </c>
      <c r="B147" t="s">
        <v>1414</v>
      </c>
      <c r="C147" t="s">
        <v>1182</v>
      </c>
      <c r="D147" t="s">
        <v>1354</v>
      </c>
      <c r="E147">
        <v>782.99</v>
      </c>
      <c r="F147" t="s">
        <v>1399</v>
      </c>
      <c r="G147" t="s">
        <v>1412</v>
      </c>
    </row>
    <row r="148" spans="1:7" x14ac:dyDescent="0.55000000000000004">
      <c r="A148">
        <v>762</v>
      </c>
      <c r="B148" t="s">
        <v>1415</v>
      </c>
      <c r="C148" t="s">
        <v>1182</v>
      </c>
      <c r="D148" t="s">
        <v>1356</v>
      </c>
      <c r="E148">
        <v>782.99</v>
      </c>
      <c r="F148" t="s">
        <v>1399</v>
      </c>
      <c r="G148" t="s">
        <v>1412</v>
      </c>
    </row>
    <row r="149" spans="1:7" x14ac:dyDescent="0.55000000000000004">
      <c r="A149">
        <v>763</v>
      </c>
      <c r="B149" t="s">
        <v>1416</v>
      </c>
      <c r="C149" t="s">
        <v>1182</v>
      </c>
      <c r="D149" t="s">
        <v>1358</v>
      </c>
      <c r="E149">
        <v>782.99</v>
      </c>
      <c r="F149" t="s">
        <v>1399</v>
      </c>
      <c r="G149" t="s">
        <v>1412</v>
      </c>
    </row>
    <row r="150" spans="1:7" x14ac:dyDescent="0.55000000000000004">
      <c r="A150">
        <v>764</v>
      </c>
      <c r="B150" t="s">
        <v>1417</v>
      </c>
      <c r="C150" t="s">
        <v>1182</v>
      </c>
      <c r="D150" t="s">
        <v>1360</v>
      </c>
      <c r="E150">
        <v>782.99</v>
      </c>
      <c r="F150" t="s">
        <v>1399</v>
      </c>
      <c r="G150" t="s">
        <v>1412</v>
      </c>
    </row>
    <row r="151" spans="1:7" x14ac:dyDescent="0.55000000000000004">
      <c r="A151">
        <v>765</v>
      </c>
      <c r="B151" t="s">
        <v>1418</v>
      </c>
      <c r="C151" t="s">
        <v>1187</v>
      </c>
      <c r="D151" t="s">
        <v>1342</v>
      </c>
      <c r="E151">
        <v>782.99</v>
      </c>
      <c r="F151" t="s">
        <v>1399</v>
      </c>
      <c r="G151" t="s">
        <v>1412</v>
      </c>
    </row>
    <row r="152" spans="1:7" x14ac:dyDescent="0.55000000000000004">
      <c r="A152">
        <v>766</v>
      </c>
      <c r="B152" t="s">
        <v>1419</v>
      </c>
      <c r="C152" t="s">
        <v>1187</v>
      </c>
      <c r="D152" t="s">
        <v>1366</v>
      </c>
      <c r="E152">
        <v>782.99</v>
      </c>
      <c r="F152" t="s">
        <v>1399</v>
      </c>
      <c r="G152" t="s">
        <v>1412</v>
      </c>
    </row>
    <row r="153" spans="1:7" x14ac:dyDescent="0.55000000000000004">
      <c r="A153">
        <v>767</v>
      </c>
      <c r="B153" t="s">
        <v>1420</v>
      </c>
      <c r="C153" t="s">
        <v>1187</v>
      </c>
      <c r="D153" t="s">
        <v>1354</v>
      </c>
      <c r="E153">
        <v>782.99</v>
      </c>
      <c r="F153" t="s">
        <v>1399</v>
      </c>
      <c r="G153" t="s">
        <v>1412</v>
      </c>
    </row>
    <row r="154" spans="1:7" x14ac:dyDescent="0.55000000000000004">
      <c r="A154">
        <v>768</v>
      </c>
      <c r="B154" t="s">
        <v>1421</v>
      </c>
      <c r="C154" t="s">
        <v>1187</v>
      </c>
      <c r="D154" t="s">
        <v>1356</v>
      </c>
      <c r="E154">
        <v>782.99</v>
      </c>
      <c r="F154" t="s">
        <v>1399</v>
      </c>
      <c r="G154" t="s">
        <v>1412</v>
      </c>
    </row>
    <row r="155" spans="1:7" x14ac:dyDescent="0.55000000000000004">
      <c r="A155">
        <v>769</v>
      </c>
      <c r="B155" t="s">
        <v>1422</v>
      </c>
      <c r="C155" t="s">
        <v>1187</v>
      </c>
      <c r="D155" t="s">
        <v>1358</v>
      </c>
      <c r="E155">
        <v>782.99</v>
      </c>
      <c r="F155" t="s">
        <v>1399</v>
      </c>
      <c r="G155" t="s">
        <v>1412</v>
      </c>
    </row>
    <row r="156" spans="1:7" x14ac:dyDescent="0.55000000000000004">
      <c r="A156">
        <v>770</v>
      </c>
      <c r="B156" t="s">
        <v>1423</v>
      </c>
      <c r="C156" t="s">
        <v>1187</v>
      </c>
      <c r="D156" t="s">
        <v>1360</v>
      </c>
      <c r="E156">
        <v>782.99</v>
      </c>
      <c r="F156" t="s">
        <v>1399</v>
      </c>
      <c r="G156" t="s">
        <v>1412</v>
      </c>
    </row>
    <row r="157" spans="1:7" x14ac:dyDescent="0.55000000000000004">
      <c r="A157">
        <v>771</v>
      </c>
      <c r="B157" t="s">
        <v>1424</v>
      </c>
      <c r="C157" t="s">
        <v>1288</v>
      </c>
      <c r="D157" t="s">
        <v>1396</v>
      </c>
      <c r="E157">
        <v>3399.99</v>
      </c>
      <c r="F157" t="s">
        <v>1425</v>
      </c>
      <c r="G157" t="s">
        <v>1426</v>
      </c>
    </row>
    <row r="158" spans="1:7" x14ac:dyDescent="0.55000000000000004">
      <c r="A158">
        <v>772</v>
      </c>
      <c r="B158" t="s">
        <v>1427</v>
      </c>
      <c r="C158" t="s">
        <v>1288</v>
      </c>
      <c r="D158" t="s">
        <v>1384</v>
      </c>
      <c r="E158">
        <v>3399.99</v>
      </c>
      <c r="F158" t="s">
        <v>1425</v>
      </c>
      <c r="G158" t="s">
        <v>1426</v>
      </c>
    </row>
    <row r="159" spans="1:7" x14ac:dyDescent="0.55000000000000004">
      <c r="A159">
        <v>773</v>
      </c>
      <c r="B159" t="s">
        <v>1428</v>
      </c>
      <c r="C159" t="s">
        <v>1288</v>
      </c>
      <c r="D159" t="s">
        <v>1356</v>
      </c>
      <c r="E159">
        <v>3399.99</v>
      </c>
      <c r="F159" t="s">
        <v>1425</v>
      </c>
      <c r="G159" t="s">
        <v>1426</v>
      </c>
    </row>
    <row r="160" spans="1:7" x14ac:dyDescent="0.55000000000000004">
      <c r="A160">
        <v>774</v>
      </c>
      <c r="B160" t="s">
        <v>1429</v>
      </c>
      <c r="C160" t="s">
        <v>1288</v>
      </c>
      <c r="D160" t="s">
        <v>1358</v>
      </c>
      <c r="E160">
        <v>3399.99</v>
      </c>
      <c r="F160" t="s">
        <v>1425</v>
      </c>
      <c r="G160" t="s">
        <v>1426</v>
      </c>
    </row>
    <row r="161" spans="1:7" x14ac:dyDescent="0.55000000000000004">
      <c r="A161">
        <v>775</v>
      </c>
      <c r="B161" t="s">
        <v>1430</v>
      </c>
      <c r="C161" t="s">
        <v>1187</v>
      </c>
      <c r="D161" t="s">
        <v>1396</v>
      </c>
      <c r="E161">
        <v>3374.99</v>
      </c>
      <c r="F161" t="s">
        <v>1425</v>
      </c>
      <c r="G161" t="s">
        <v>1426</v>
      </c>
    </row>
    <row r="162" spans="1:7" x14ac:dyDescent="0.55000000000000004">
      <c r="A162">
        <v>776</v>
      </c>
      <c r="B162" t="s">
        <v>1431</v>
      </c>
      <c r="C162" t="s">
        <v>1187</v>
      </c>
      <c r="D162" t="s">
        <v>1384</v>
      </c>
      <c r="E162">
        <v>3374.99</v>
      </c>
      <c r="F162" t="s">
        <v>1425</v>
      </c>
      <c r="G162" t="s">
        <v>1426</v>
      </c>
    </row>
    <row r="163" spans="1:7" x14ac:dyDescent="0.55000000000000004">
      <c r="A163">
        <v>777</v>
      </c>
      <c r="B163" t="s">
        <v>1432</v>
      </c>
      <c r="C163" t="s">
        <v>1187</v>
      </c>
      <c r="D163" t="s">
        <v>1356</v>
      </c>
      <c r="E163">
        <v>3374.99</v>
      </c>
      <c r="F163" t="s">
        <v>1425</v>
      </c>
      <c r="G163" t="s">
        <v>1426</v>
      </c>
    </row>
    <row r="164" spans="1:7" x14ac:dyDescent="0.55000000000000004">
      <c r="A164">
        <v>778</v>
      </c>
      <c r="B164" t="s">
        <v>1433</v>
      </c>
      <c r="C164" t="s">
        <v>1187</v>
      </c>
      <c r="D164" t="s">
        <v>1358</v>
      </c>
      <c r="E164">
        <v>3374.99</v>
      </c>
      <c r="F164" t="s">
        <v>1425</v>
      </c>
      <c r="G164" t="s">
        <v>1426</v>
      </c>
    </row>
    <row r="165" spans="1:7" x14ac:dyDescent="0.55000000000000004">
      <c r="A165">
        <v>779</v>
      </c>
      <c r="B165" t="s">
        <v>1434</v>
      </c>
      <c r="C165" t="s">
        <v>1288</v>
      </c>
      <c r="D165" t="s">
        <v>1396</v>
      </c>
      <c r="E165">
        <v>2319.9899999999998</v>
      </c>
      <c r="F165" t="s">
        <v>1425</v>
      </c>
      <c r="G165" t="s">
        <v>1435</v>
      </c>
    </row>
    <row r="166" spans="1:7" x14ac:dyDescent="0.55000000000000004">
      <c r="A166">
        <v>780</v>
      </c>
      <c r="B166" t="s">
        <v>1436</v>
      </c>
      <c r="C166" t="s">
        <v>1288</v>
      </c>
      <c r="D166" t="s">
        <v>1384</v>
      </c>
      <c r="E166">
        <v>2319.9899999999998</v>
      </c>
      <c r="F166" t="s">
        <v>1425</v>
      </c>
      <c r="G166" t="s">
        <v>1435</v>
      </c>
    </row>
    <row r="167" spans="1:7" x14ac:dyDescent="0.55000000000000004">
      <c r="A167">
        <v>781</v>
      </c>
      <c r="B167" t="s">
        <v>1437</v>
      </c>
      <c r="C167" t="s">
        <v>1288</v>
      </c>
      <c r="D167" t="s">
        <v>1390</v>
      </c>
      <c r="E167">
        <v>2319.9899999999998</v>
      </c>
      <c r="F167" t="s">
        <v>1425</v>
      </c>
      <c r="G167" t="s">
        <v>1435</v>
      </c>
    </row>
    <row r="168" spans="1:7" x14ac:dyDescent="0.55000000000000004">
      <c r="A168">
        <v>782</v>
      </c>
      <c r="B168" t="s">
        <v>1438</v>
      </c>
      <c r="C168" t="s">
        <v>1187</v>
      </c>
      <c r="D168" t="s">
        <v>1396</v>
      </c>
      <c r="E168">
        <v>2294.9899999999998</v>
      </c>
      <c r="F168" t="s">
        <v>1425</v>
      </c>
      <c r="G168" t="s">
        <v>1435</v>
      </c>
    </row>
    <row r="169" spans="1:7" x14ac:dyDescent="0.55000000000000004">
      <c r="A169">
        <v>783</v>
      </c>
      <c r="B169" t="s">
        <v>1439</v>
      </c>
      <c r="C169" t="s">
        <v>1187</v>
      </c>
      <c r="D169" t="s">
        <v>1384</v>
      </c>
      <c r="E169">
        <v>2294.9899999999998</v>
      </c>
      <c r="F169" t="s">
        <v>1425</v>
      </c>
      <c r="G169" t="s">
        <v>1435</v>
      </c>
    </row>
    <row r="170" spans="1:7" x14ac:dyDescent="0.55000000000000004">
      <c r="A170">
        <v>784</v>
      </c>
      <c r="B170" t="s">
        <v>1440</v>
      </c>
      <c r="C170" t="s">
        <v>1187</v>
      </c>
      <c r="D170" t="s">
        <v>1390</v>
      </c>
      <c r="E170">
        <v>2294.9899999999998</v>
      </c>
      <c r="F170" t="s">
        <v>1425</v>
      </c>
      <c r="G170" t="s">
        <v>1435</v>
      </c>
    </row>
    <row r="171" spans="1:7" x14ac:dyDescent="0.55000000000000004">
      <c r="A171">
        <v>785</v>
      </c>
      <c r="B171" t="s">
        <v>1441</v>
      </c>
      <c r="C171" t="s">
        <v>1187</v>
      </c>
      <c r="D171" t="s">
        <v>1396</v>
      </c>
      <c r="E171">
        <v>1079.99</v>
      </c>
      <c r="F171" t="s">
        <v>1425</v>
      </c>
      <c r="G171" t="s">
        <v>1442</v>
      </c>
    </row>
    <row r="172" spans="1:7" x14ac:dyDescent="0.55000000000000004">
      <c r="A172">
        <v>786</v>
      </c>
      <c r="B172" t="s">
        <v>1443</v>
      </c>
      <c r="C172" t="s">
        <v>1187</v>
      </c>
      <c r="D172" t="s">
        <v>1444</v>
      </c>
      <c r="E172">
        <v>1079.99</v>
      </c>
      <c r="F172" t="s">
        <v>1425</v>
      </c>
      <c r="G172" t="s">
        <v>1442</v>
      </c>
    </row>
    <row r="173" spans="1:7" x14ac:dyDescent="0.55000000000000004">
      <c r="A173">
        <v>787</v>
      </c>
      <c r="B173" t="s">
        <v>1445</v>
      </c>
      <c r="C173" t="s">
        <v>1187</v>
      </c>
      <c r="D173" t="s">
        <v>1356</v>
      </c>
      <c r="E173">
        <v>1079.99</v>
      </c>
      <c r="F173" t="s">
        <v>1425</v>
      </c>
      <c r="G173" t="s">
        <v>1442</v>
      </c>
    </row>
    <row r="174" spans="1:7" x14ac:dyDescent="0.55000000000000004">
      <c r="A174">
        <v>788</v>
      </c>
      <c r="B174" t="s">
        <v>1446</v>
      </c>
      <c r="C174" t="s">
        <v>1187</v>
      </c>
      <c r="D174" t="s">
        <v>1358</v>
      </c>
      <c r="E174">
        <v>1079.99</v>
      </c>
      <c r="F174" t="s">
        <v>1425</v>
      </c>
      <c r="G174" t="s">
        <v>1442</v>
      </c>
    </row>
    <row r="175" spans="1:7" x14ac:dyDescent="0.55000000000000004">
      <c r="A175">
        <v>789</v>
      </c>
      <c r="B175" t="s">
        <v>1447</v>
      </c>
      <c r="C175" t="s">
        <v>1182</v>
      </c>
      <c r="D175" t="s">
        <v>1356</v>
      </c>
      <c r="E175">
        <v>2443.35</v>
      </c>
      <c r="F175" t="s">
        <v>1399</v>
      </c>
      <c r="G175" t="s">
        <v>1448</v>
      </c>
    </row>
    <row r="176" spans="1:7" x14ac:dyDescent="0.55000000000000004">
      <c r="A176">
        <v>790</v>
      </c>
      <c r="B176" t="s">
        <v>1449</v>
      </c>
      <c r="C176" t="s">
        <v>1182</v>
      </c>
      <c r="D176" t="s">
        <v>1358</v>
      </c>
      <c r="E176">
        <v>2443.35</v>
      </c>
      <c r="F176" t="s">
        <v>1399</v>
      </c>
      <c r="G176" t="s">
        <v>1448</v>
      </c>
    </row>
    <row r="177" spans="1:7" x14ac:dyDescent="0.55000000000000004">
      <c r="A177">
        <v>791</v>
      </c>
      <c r="B177" t="s">
        <v>1450</v>
      </c>
      <c r="C177" t="s">
        <v>1182</v>
      </c>
      <c r="D177" t="s">
        <v>1360</v>
      </c>
      <c r="E177">
        <v>2443.35</v>
      </c>
      <c r="F177" t="s">
        <v>1399</v>
      </c>
      <c r="G177" t="s">
        <v>1448</v>
      </c>
    </row>
    <row r="178" spans="1:7" x14ac:dyDescent="0.55000000000000004">
      <c r="A178">
        <v>792</v>
      </c>
      <c r="B178" t="s">
        <v>1451</v>
      </c>
      <c r="C178" t="s">
        <v>1182</v>
      </c>
      <c r="D178" t="s">
        <v>1342</v>
      </c>
      <c r="E178">
        <v>2443.35</v>
      </c>
      <c r="F178" t="s">
        <v>1399</v>
      </c>
      <c r="G178" t="s">
        <v>1448</v>
      </c>
    </row>
    <row r="179" spans="1:7" x14ac:dyDescent="0.55000000000000004">
      <c r="A179">
        <v>793</v>
      </c>
      <c r="B179" t="s">
        <v>1452</v>
      </c>
      <c r="C179" t="s">
        <v>1187</v>
      </c>
      <c r="D179" t="s">
        <v>1356</v>
      </c>
      <c r="E179">
        <v>2443.35</v>
      </c>
      <c r="F179" t="s">
        <v>1399</v>
      </c>
      <c r="G179" t="s">
        <v>1448</v>
      </c>
    </row>
    <row r="180" spans="1:7" x14ac:dyDescent="0.55000000000000004">
      <c r="A180">
        <v>794</v>
      </c>
      <c r="B180" t="s">
        <v>1453</v>
      </c>
      <c r="C180" t="s">
        <v>1187</v>
      </c>
      <c r="D180" t="s">
        <v>1358</v>
      </c>
      <c r="E180">
        <v>2443.35</v>
      </c>
      <c r="F180" t="s">
        <v>1399</v>
      </c>
      <c r="G180" t="s">
        <v>1448</v>
      </c>
    </row>
    <row r="181" spans="1:7" x14ac:dyDescent="0.55000000000000004">
      <c r="A181">
        <v>795</v>
      </c>
      <c r="B181" t="s">
        <v>1454</v>
      </c>
      <c r="C181" t="s">
        <v>1187</v>
      </c>
      <c r="D181" t="s">
        <v>1360</v>
      </c>
      <c r="E181">
        <v>2443.35</v>
      </c>
      <c r="F181" t="s">
        <v>1399</v>
      </c>
      <c r="G181" t="s">
        <v>1448</v>
      </c>
    </row>
    <row r="182" spans="1:7" x14ac:dyDescent="0.55000000000000004">
      <c r="A182">
        <v>796</v>
      </c>
      <c r="B182" t="s">
        <v>1455</v>
      </c>
      <c r="C182" t="s">
        <v>1187</v>
      </c>
      <c r="D182" t="s">
        <v>1342</v>
      </c>
      <c r="E182">
        <v>2443.35</v>
      </c>
      <c r="F182" t="s">
        <v>1399</v>
      </c>
      <c r="G182" t="s">
        <v>1448</v>
      </c>
    </row>
    <row r="183" spans="1:7" x14ac:dyDescent="0.55000000000000004">
      <c r="A183">
        <v>797</v>
      </c>
      <c r="B183" t="s">
        <v>1456</v>
      </c>
      <c r="C183" t="s">
        <v>1285</v>
      </c>
      <c r="D183" t="s">
        <v>1396</v>
      </c>
      <c r="E183">
        <v>1120.49</v>
      </c>
      <c r="F183" t="s">
        <v>1399</v>
      </c>
      <c r="G183" t="s">
        <v>1457</v>
      </c>
    </row>
    <row r="184" spans="1:7" x14ac:dyDescent="0.55000000000000004">
      <c r="A184">
        <v>798</v>
      </c>
      <c r="B184" t="s">
        <v>1458</v>
      </c>
      <c r="C184" t="s">
        <v>1285</v>
      </c>
      <c r="D184" t="s">
        <v>1444</v>
      </c>
      <c r="E184">
        <v>1120.49</v>
      </c>
      <c r="F184" t="s">
        <v>1399</v>
      </c>
      <c r="G184" t="s">
        <v>1457</v>
      </c>
    </row>
    <row r="185" spans="1:7" x14ac:dyDescent="0.55000000000000004">
      <c r="A185">
        <v>799</v>
      </c>
      <c r="B185" t="s">
        <v>1459</v>
      </c>
      <c r="C185" t="s">
        <v>1285</v>
      </c>
      <c r="D185" t="s">
        <v>1384</v>
      </c>
      <c r="E185">
        <v>1120.49</v>
      </c>
      <c r="F185" t="s">
        <v>1399</v>
      </c>
      <c r="G185" t="s">
        <v>1457</v>
      </c>
    </row>
    <row r="186" spans="1:7" x14ac:dyDescent="0.55000000000000004">
      <c r="A186">
        <v>800</v>
      </c>
      <c r="B186" t="s">
        <v>1460</v>
      </c>
      <c r="C186" t="s">
        <v>1285</v>
      </c>
      <c r="D186" t="s">
        <v>1356</v>
      </c>
      <c r="E186">
        <v>1120.49</v>
      </c>
      <c r="F186" t="s">
        <v>1399</v>
      </c>
      <c r="G186" t="s">
        <v>1457</v>
      </c>
    </row>
    <row r="187" spans="1:7" x14ac:dyDescent="0.55000000000000004">
      <c r="A187">
        <v>801</v>
      </c>
      <c r="B187" t="s">
        <v>1461</v>
      </c>
      <c r="C187" t="s">
        <v>1285</v>
      </c>
      <c r="D187" t="s">
        <v>1358</v>
      </c>
      <c r="E187">
        <v>1120.49</v>
      </c>
      <c r="F187" t="s">
        <v>1399</v>
      </c>
      <c r="G187" t="s">
        <v>1457</v>
      </c>
    </row>
    <row r="188" spans="1:7" x14ac:dyDescent="0.55000000000000004">
      <c r="A188">
        <v>814</v>
      </c>
      <c r="B188" t="s">
        <v>1462</v>
      </c>
      <c r="C188" t="s">
        <v>1187</v>
      </c>
      <c r="D188" t="s">
        <v>1396</v>
      </c>
      <c r="E188">
        <v>348.76</v>
      </c>
      <c r="F188" t="s">
        <v>1385</v>
      </c>
      <c r="G188" t="s">
        <v>1463</v>
      </c>
    </row>
    <row r="189" spans="1:7" x14ac:dyDescent="0.55000000000000004">
      <c r="A189">
        <v>822</v>
      </c>
      <c r="B189" t="s">
        <v>1464</v>
      </c>
      <c r="C189" t="s">
        <v>1285</v>
      </c>
      <c r="D189" t="s">
        <v>1396</v>
      </c>
      <c r="E189">
        <v>594.83000000000004</v>
      </c>
      <c r="F189" t="s">
        <v>1343</v>
      </c>
      <c r="G189" t="s">
        <v>1465</v>
      </c>
    </row>
    <row r="190" spans="1:7" x14ac:dyDescent="0.55000000000000004">
      <c r="A190">
        <v>830</v>
      </c>
      <c r="B190" t="s">
        <v>1466</v>
      </c>
      <c r="C190" t="s">
        <v>1187</v>
      </c>
      <c r="D190" t="s">
        <v>1444</v>
      </c>
      <c r="E190">
        <v>348.76</v>
      </c>
      <c r="F190" t="s">
        <v>1385</v>
      </c>
      <c r="G190" t="s">
        <v>1467</v>
      </c>
    </row>
    <row r="191" spans="1:7" x14ac:dyDescent="0.55000000000000004">
      <c r="A191">
        <v>831</v>
      </c>
      <c r="B191" t="s">
        <v>1468</v>
      </c>
      <c r="C191" t="s">
        <v>1187</v>
      </c>
      <c r="D191" t="s">
        <v>1356</v>
      </c>
      <c r="E191">
        <v>348.76</v>
      </c>
      <c r="F191" t="s">
        <v>1385</v>
      </c>
      <c r="G191" t="s">
        <v>1467</v>
      </c>
    </row>
    <row r="192" spans="1:7" x14ac:dyDescent="0.55000000000000004">
      <c r="A192">
        <v>832</v>
      </c>
      <c r="B192" t="s">
        <v>1469</v>
      </c>
      <c r="C192" t="s">
        <v>1187</v>
      </c>
      <c r="D192" t="s">
        <v>1358</v>
      </c>
      <c r="E192">
        <v>348.76</v>
      </c>
      <c r="F192" t="s">
        <v>1385</v>
      </c>
      <c r="G192" t="s">
        <v>1467</v>
      </c>
    </row>
    <row r="193" spans="1:7" x14ac:dyDescent="0.55000000000000004">
      <c r="A193">
        <v>833</v>
      </c>
      <c r="B193" t="s">
        <v>1470</v>
      </c>
      <c r="C193" t="s">
        <v>1285</v>
      </c>
      <c r="D193" t="s">
        <v>1444</v>
      </c>
      <c r="E193">
        <v>594.83000000000004</v>
      </c>
      <c r="F193" t="s">
        <v>1343</v>
      </c>
      <c r="G193" t="s">
        <v>1465</v>
      </c>
    </row>
    <row r="194" spans="1:7" x14ac:dyDescent="0.55000000000000004">
      <c r="A194">
        <v>834</v>
      </c>
      <c r="B194" t="s">
        <v>1471</v>
      </c>
      <c r="C194" t="s">
        <v>1285</v>
      </c>
      <c r="D194" t="s">
        <v>1384</v>
      </c>
      <c r="E194">
        <v>594.83000000000004</v>
      </c>
      <c r="F194" t="s">
        <v>1343</v>
      </c>
      <c r="G194" t="s">
        <v>1465</v>
      </c>
    </row>
    <row r="195" spans="1:7" x14ac:dyDescent="0.55000000000000004">
      <c r="A195">
        <v>835</v>
      </c>
      <c r="B195" t="s">
        <v>1472</v>
      </c>
      <c r="C195" t="s">
        <v>1285</v>
      </c>
      <c r="D195" t="s">
        <v>1356</v>
      </c>
      <c r="E195">
        <v>594.83000000000004</v>
      </c>
      <c r="F195" t="s">
        <v>1343</v>
      </c>
      <c r="G195" t="s">
        <v>1465</v>
      </c>
    </row>
    <row r="196" spans="1:7" x14ac:dyDescent="0.55000000000000004">
      <c r="A196">
        <v>836</v>
      </c>
      <c r="B196" t="s">
        <v>1473</v>
      </c>
      <c r="C196" t="s">
        <v>1285</v>
      </c>
      <c r="D196" t="s">
        <v>1358</v>
      </c>
      <c r="E196">
        <v>594.83000000000004</v>
      </c>
      <c r="F196" t="s">
        <v>1343</v>
      </c>
      <c r="G196" t="s">
        <v>1465</v>
      </c>
    </row>
    <row r="197" spans="1:7" x14ac:dyDescent="0.55000000000000004">
      <c r="A197">
        <v>837</v>
      </c>
      <c r="B197" t="s">
        <v>1474</v>
      </c>
      <c r="C197" t="s">
        <v>1187</v>
      </c>
      <c r="D197" t="s">
        <v>1354</v>
      </c>
      <c r="E197">
        <v>1431.5</v>
      </c>
      <c r="F197" t="s">
        <v>1343</v>
      </c>
      <c r="G197" t="s">
        <v>1344</v>
      </c>
    </row>
    <row r="198" spans="1:7" x14ac:dyDescent="0.55000000000000004">
      <c r="A198">
        <v>838</v>
      </c>
      <c r="B198" t="s">
        <v>1475</v>
      </c>
      <c r="C198" t="s">
        <v>1187</v>
      </c>
      <c r="D198" t="s">
        <v>1356</v>
      </c>
      <c r="E198">
        <v>1431.5</v>
      </c>
      <c r="F198" t="s">
        <v>1343</v>
      </c>
      <c r="G198" t="s">
        <v>1344</v>
      </c>
    </row>
    <row r="199" spans="1:7" x14ac:dyDescent="0.55000000000000004">
      <c r="A199">
        <v>839</v>
      </c>
      <c r="B199" t="s">
        <v>1476</v>
      </c>
      <c r="C199" t="s">
        <v>1187</v>
      </c>
      <c r="D199" t="s">
        <v>1358</v>
      </c>
      <c r="E199">
        <v>1431.5</v>
      </c>
      <c r="F199" t="s">
        <v>1343</v>
      </c>
      <c r="G199" t="s">
        <v>1344</v>
      </c>
    </row>
    <row r="200" spans="1:7" x14ac:dyDescent="0.55000000000000004">
      <c r="A200">
        <v>840</v>
      </c>
      <c r="B200" t="s">
        <v>1477</v>
      </c>
      <c r="C200" t="s">
        <v>1187</v>
      </c>
      <c r="D200" t="s">
        <v>1360</v>
      </c>
      <c r="E200">
        <v>1431.5</v>
      </c>
      <c r="F200" t="s">
        <v>1343</v>
      </c>
      <c r="G200" t="s">
        <v>1344</v>
      </c>
    </row>
    <row r="201" spans="1:7" x14ac:dyDescent="0.55000000000000004">
      <c r="A201">
        <v>841</v>
      </c>
      <c r="B201" t="s">
        <v>1478</v>
      </c>
      <c r="C201" t="s">
        <v>1187</v>
      </c>
      <c r="D201" t="s">
        <v>1349</v>
      </c>
      <c r="E201">
        <v>59.99</v>
      </c>
      <c r="F201" t="s">
        <v>1247</v>
      </c>
      <c r="G201" t="s">
        <v>1248</v>
      </c>
    </row>
    <row r="202" spans="1:7" x14ac:dyDescent="0.55000000000000004">
      <c r="A202">
        <v>850</v>
      </c>
      <c r="B202" t="s">
        <v>1479</v>
      </c>
      <c r="C202" t="s">
        <v>1187</v>
      </c>
      <c r="D202" t="s">
        <v>1347</v>
      </c>
      <c r="E202">
        <v>59.99</v>
      </c>
      <c r="F202" t="s">
        <v>1247</v>
      </c>
      <c r="G202" t="s">
        <v>1248</v>
      </c>
    </row>
    <row r="203" spans="1:7" x14ac:dyDescent="0.55000000000000004">
      <c r="A203">
        <v>851</v>
      </c>
      <c r="B203" t="s">
        <v>1480</v>
      </c>
      <c r="C203" t="s">
        <v>1187</v>
      </c>
      <c r="D203" t="s">
        <v>1352</v>
      </c>
      <c r="E203">
        <v>59.99</v>
      </c>
      <c r="F203" t="s">
        <v>1247</v>
      </c>
      <c r="G203" t="s">
        <v>1248</v>
      </c>
    </row>
    <row r="204" spans="1:7" x14ac:dyDescent="0.55000000000000004">
      <c r="A204">
        <v>852</v>
      </c>
      <c r="B204" t="s">
        <v>1481</v>
      </c>
      <c r="C204" t="s">
        <v>1187</v>
      </c>
      <c r="D204" t="s">
        <v>1349</v>
      </c>
      <c r="E204">
        <v>74.989999999999995</v>
      </c>
      <c r="F204" t="s">
        <v>1250</v>
      </c>
      <c r="G204" t="s">
        <v>1251</v>
      </c>
    </row>
    <row r="205" spans="1:7" x14ac:dyDescent="0.55000000000000004">
      <c r="A205">
        <v>854</v>
      </c>
      <c r="B205" t="s">
        <v>1482</v>
      </c>
      <c r="C205" t="s">
        <v>1187</v>
      </c>
      <c r="D205" t="s">
        <v>1347</v>
      </c>
      <c r="E205">
        <v>74.989999999999995</v>
      </c>
      <c r="F205" t="s">
        <v>1250</v>
      </c>
      <c r="G205" t="s">
        <v>1251</v>
      </c>
    </row>
    <row r="206" spans="1:7" x14ac:dyDescent="0.55000000000000004">
      <c r="A206">
        <v>855</v>
      </c>
      <c r="B206" t="s">
        <v>1483</v>
      </c>
      <c r="C206" t="s">
        <v>1195</v>
      </c>
      <c r="D206" t="s">
        <v>1349</v>
      </c>
      <c r="E206">
        <v>89.99</v>
      </c>
      <c r="F206" t="s">
        <v>1253</v>
      </c>
      <c r="G206" t="s">
        <v>1254</v>
      </c>
    </row>
    <row r="207" spans="1:7" x14ac:dyDescent="0.55000000000000004">
      <c r="A207">
        <v>857</v>
      </c>
      <c r="B207" t="s">
        <v>1484</v>
      </c>
      <c r="C207" t="s">
        <v>1195</v>
      </c>
      <c r="D207" t="s">
        <v>1347</v>
      </c>
      <c r="E207">
        <v>89.99</v>
      </c>
      <c r="F207" t="s">
        <v>1253</v>
      </c>
      <c r="G207" t="s">
        <v>1254</v>
      </c>
    </row>
    <row r="208" spans="1:7" x14ac:dyDescent="0.55000000000000004">
      <c r="A208">
        <v>858</v>
      </c>
      <c r="B208" t="s">
        <v>1485</v>
      </c>
      <c r="C208" t="s">
        <v>1187</v>
      </c>
      <c r="D208" t="s">
        <v>1349</v>
      </c>
      <c r="E208">
        <v>24.49</v>
      </c>
      <c r="F208" t="s">
        <v>1256</v>
      </c>
      <c r="G208" t="s">
        <v>1257</v>
      </c>
    </row>
    <row r="209" spans="1:7" x14ac:dyDescent="0.55000000000000004">
      <c r="A209">
        <v>860</v>
      </c>
      <c r="B209" t="s">
        <v>1486</v>
      </c>
      <c r="C209" t="s">
        <v>1187</v>
      </c>
      <c r="D209" t="s">
        <v>1347</v>
      </c>
      <c r="E209">
        <v>24.49</v>
      </c>
      <c r="F209" t="s">
        <v>1256</v>
      </c>
      <c r="G209" t="s">
        <v>1257</v>
      </c>
    </row>
    <row r="210" spans="1:7" x14ac:dyDescent="0.55000000000000004">
      <c r="A210">
        <v>861</v>
      </c>
      <c r="B210" t="s">
        <v>1487</v>
      </c>
      <c r="C210" t="s">
        <v>1187</v>
      </c>
      <c r="D210" t="s">
        <v>1349</v>
      </c>
      <c r="E210">
        <v>37.99</v>
      </c>
      <c r="F210" t="s">
        <v>1256</v>
      </c>
      <c r="G210" t="s">
        <v>1259</v>
      </c>
    </row>
    <row r="211" spans="1:7" x14ac:dyDescent="0.55000000000000004">
      <c r="A211">
        <v>863</v>
      </c>
      <c r="B211" t="s">
        <v>1488</v>
      </c>
      <c r="C211" t="s">
        <v>1187</v>
      </c>
      <c r="D211" t="s">
        <v>1347</v>
      </c>
      <c r="E211">
        <v>37.99</v>
      </c>
      <c r="F211" t="s">
        <v>1256</v>
      </c>
      <c r="G211" t="s">
        <v>1259</v>
      </c>
    </row>
    <row r="212" spans="1:7" x14ac:dyDescent="0.55000000000000004">
      <c r="A212">
        <v>864</v>
      </c>
      <c r="B212" t="s">
        <v>1489</v>
      </c>
      <c r="C212" t="s">
        <v>1193</v>
      </c>
      <c r="D212" t="s">
        <v>1349</v>
      </c>
      <c r="E212">
        <v>63.5</v>
      </c>
      <c r="F212" t="s">
        <v>1261</v>
      </c>
      <c r="G212" t="s">
        <v>1262</v>
      </c>
    </row>
    <row r="213" spans="1:7" x14ac:dyDescent="0.55000000000000004">
      <c r="A213">
        <v>866</v>
      </c>
      <c r="B213" t="s">
        <v>1490</v>
      </c>
      <c r="C213" t="s">
        <v>1193</v>
      </c>
      <c r="D213" t="s">
        <v>1347</v>
      </c>
      <c r="E213">
        <v>63.5</v>
      </c>
      <c r="F213" t="s">
        <v>1261</v>
      </c>
      <c r="G213" t="s">
        <v>1262</v>
      </c>
    </row>
    <row r="214" spans="1:7" x14ac:dyDescent="0.55000000000000004">
      <c r="A214">
        <v>867</v>
      </c>
      <c r="B214" t="s">
        <v>1491</v>
      </c>
      <c r="C214" t="s">
        <v>1187</v>
      </c>
      <c r="D214" t="s">
        <v>1349</v>
      </c>
      <c r="E214">
        <v>69.989999999999995</v>
      </c>
      <c r="F214" t="s">
        <v>1247</v>
      </c>
      <c r="G214" t="s">
        <v>1264</v>
      </c>
    </row>
    <row r="215" spans="1:7" x14ac:dyDescent="0.55000000000000004">
      <c r="A215">
        <v>869</v>
      </c>
      <c r="B215" t="s">
        <v>1492</v>
      </c>
      <c r="C215" t="s">
        <v>1187</v>
      </c>
      <c r="D215" t="s">
        <v>1347</v>
      </c>
      <c r="E215">
        <v>69.989999999999995</v>
      </c>
      <c r="F215" t="s">
        <v>1247</v>
      </c>
      <c r="G215" t="s">
        <v>1264</v>
      </c>
    </row>
    <row r="216" spans="1:7" x14ac:dyDescent="0.55000000000000004">
      <c r="A216">
        <v>875</v>
      </c>
      <c r="B216" t="s">
        <v>1493</v>
      </c>
      <c r="C216" t="s">
        <v>1189</v>
      </c>
      <c r="D216" t="s">
        <v>1347</v>
      </c>
      <c r="E216">
        <v>8.99</v>
      </c>
      <c r="F216" t="s">
        <v>1190</v>
      </c>
      <c r="G216" t="s">
        <v>1274</v>
      </c>
    </row>
    <row r="217" spans="1:7" x14ac:dyDescent="0.55000000000000004">
      <c r="A217">
        <v>880</v>
      </c>
      <c r="B217" t="s">
        <v>1494</v>
      </c>
      <c r="C217" t="s">
        <v>1288</v>
      </c>
      <c r="D217" t="s">
        <v>1495</v>
      </c>
      <c r="E217">
        <v>54.99</v>
      </c>
      <c r="F217" t="s">
        <v>1496</v>
      </c>
      <c r="G217" t="s">
        <v>1497</v>
      </c>
    </row>
    <row r="218" spans="1:7" x14ac:dyDescent="0.55000000000000004">
      <c r="A218">
        <v>881</v>
      </c>
      <c r="B218" t="s">
        <v>1498</v>
      </c>
      <c r="C218" t="s">
        <v>1285</v>
      </c>
      <c r="D218" t="s">
        <v>1349</v>
      </c>
      <c r="E218">
        <v>53.99</v>
      </c>
      <c r="F218" t="s">
        <v>1199</v>
      </c>
      <c r="G218" t="s">
        <v>1286</v>
      </c>
    </row>
    <row r="219" spans="1:7" x14ac:dyDescent="0.55000000000000004">
      <c r="A219">
        <v>883</v>
      </c>
      <c r="B219" t="s">
        <v>1499</v>
      </c>
      <c r="C219" t="s">
        <v>1285</v>
      </c>
      <c r="D219" t="s">
        <v>1347</v>
      </c>
      <c r="E219">
        <v>53.99</v>
      </c>
      <c r="F219" t="s">
        <v>1199</v>
      </c>
      <c r="G219" t="s">
        <v>1286</v>
      </c>
    </row>
    <row r="220" spans="1:7" x14ac:dyDescent="0.55000000000000004">
      <c r="A220">
        <v>884</v>
      </c>
      <c r="B220" t="s">
        <v>1500</v>
      </c>
      <c r="C220" t="s">
        <v>1285</v>
      </c>
      <c r="D220" t="s">
        <v>1352</v>
      </c>
      <c r="E220">
        <v>53.99</v>
      </c>
      <c r="F220" t="s">
        <v>1199</v>
      </c>
      <c r="G220" t="s">
        <v>1286</v>
      </c>
    </row>
    <row r="221" spans="1:7" x14ac:dyDescent="0.55000000000000004">
      <c r="A221">
        <v>885</v>
      </c>
      <c r="B221" t="s">
        <v>1501</v>
      </c>
      <c r="C221" t="s">
        <v>1285</v>
      </c>
      <c r="D221" t="s">
        <v>1366</v>
      </c>
      <c r="E221">
        <v>1003.91</v>
      </c>
      <c r="F221" t="s">
        <v>1502</v>
      </c>
      <c r="G221" t="s">
        <v>1503</v>
      </c>
    </row>
    <row r="222" spans="1:7" x14ac:dyDescent="0.55000000000000004">
      <c r="A222">
        <v>886</v>
      </c>
      <c r="B222" t="s">
        <v>1504</v>
      </c>
      <c r="C222" t="s">
        <v>1285</v>
      </c>
      <c r="D222" t="s">
        <v>1354</v>
      </c>
      <c r="E222">
        <v>333.42</v>
      </c>
      <c r="F222" t="s">
        <v>1502</v>
      </c>
      <c r="G222" t="s">
        <v>1505</v>
      </c>
    </row>
    <row r="223" spans="1:7" x14ac:dyDescent="0.55000000000000004">
      <c r="A223">
        <v>887</v>
      </c>
      <c r="B223" t="s">
        <v>1506</v>
      </c>
      <c r="C223" t="s">
        <v>1285</v>
      </c>
      <c r="D223" t="s">
        <v>1390</v>
      </c>
      <c r="E223">
        <v>1003.91</v>
      </c>
      <c r="F223" t="s">
        <v>1502</v>
      </c>
      <c r="G223" t="s">
        <v>1503</v>
      </c>
    </row>
    <row r="224" spans="1:7" x14ac:dyDescent="0.55000000000000004">
      <c r="A224">
        <v>888</v>
      </c>
      <c r="B224" t="s">
        <v>1507</v>
      </c>
      <c r="C224" t="s">
        <v>1285</v>
      </c>
      <c r="D224" t="s">
        <v>1508</v>
      </c>
      <c r="E224">
        <v>1003.91</v>
      </c>
      <c r="F224" t="s">
        <v>1502</v>
      </c>
      <c r="G224" t="s">
        <v>1503</v>
      </c>
    </row>
    <row r="225" spans="1:7" x14ac:dyDescent="0.55000000000000004">
      <c r="A225">
        <v>889</v>
      </c>
      <c r="B225" t="s">
        <v>1509</v>
      </c>
      <c r="C225" t="s">
        <v>1285</v>
      </c>
      <c r="D225" t="s">
        <v>1510</v>
      </c>
      <c r="E225">
        <v>1003.91</v>
      </c>
      <c r="F225" t="s">
        <v>1502</v>
      </c>
      <c r="G225" t="s">
        <v>1503</v>
      </c>
    </row>
    <row r="226" spans="1:7" x14ac:dyDescent="0.55000000000000004">
      <c r="A226">
        <v>890</v>
      </c>
      <c r="B226" t="s">
        <v>1511</v>
      </c>
      <c r="C226" t="s">
        <v>1193</v>
      </c>
      <c r="D226" t="s">
        <v>1390</v>
      </c>
      <c r="E226">
        <v>1003.91</v>
      </c>
      <c r="F226" t="s">
        <v>1502</v>
      </c>
      <c r="G226" t="s">
        <v>1503</v>
      </c>
    </row>
    <row r="227" spans="1:7" x14ac:dyDescent="0.55000000000000004">
      <c r="A227">
        <v>891</v>
      </c>
      <c r="B227" t="s">
        <v>1512</v>
      </c>
      <c r="C227" t="s">
        <v>1193</v>
      </c>
      <c r="D227" t="s">
        <v>1508</v>
      </c>
      <c r="E227">
        <v>1003.91</v>
      </c>
      <c r="F227" t="s">
        <v>1502</v>
      </c>
      <c r="G227" t="s">
        <v>1503</v>
      </c>
    </row>
    <row r="228" spans="1:7" x14ac:dyDescent="0.55000000000000004">
      <c r="A228">
        <v>892</v>
      </c>
      <c r="B228" t="s">
        <v>1513</v>
      </c>
      <c r="C228" t="s">
        <v>1193</v>
      </c>
      <c r="D228" t="s">
        <v>1510</v>
      </c>
      <c r="E228">
        <v>1003.91</v>
      </c>
      <c r="F228" t="s">
        <v>1502</v>
      </c>
      <c r="G228" t="s">
        <v>1503</v>
      </c>
    </row>
    <row r="229" spans="1:7" x14ac:dyDescent="0.55000000000000004">
      <c r="A229">
        <v>893</v>
      </c>
      <c r="B229" t="s">
        <v>1514</v>
      </c>
      <c r="C229" t="s">
        <v>1193</v>
      </c>
      <c r="D229" t="s">
        <v>1366</v>
      </c>
      <c r="E229">
        <v>1003.91</v>
      </c>
      <c r="F229" t="s">
        <v>1502</v>
      </c>
      <c r="G229" t="s">
        <v>1503</v>
      </c>
    </row>
    <row r="230" spans="1:7" x14ac:dyDescent="0.55000000000000004">
      <c r="A230">
        <v>895</v>
      </c>
      <c r="B230" t="s">
        <v>1515</v>
      </c>
      <c r="C230" t="s">
        <v>1193</v>
      </c>
      <c r="D230" t="s">
        <v>1508</v>
      </c>
      <c r="E230">
        <v>333.42</v>
      </c>
      <c r="F230" t="s">
        <v>1502</v>
      </c>
      <c r="G230" t="s">
        <v>1505</v>
      </c>
    </row>
    <row r="231" spans="1:7" x14ac:dyDescent="0.55000000000000004">
      <c r="A231">
        <v>896</v>
      </c>
      <c r="B231" t="s">
        <v>1516</v>
      </c>
      <c r="C231" t="s">
        <v>1193</v>
      </c>
      <c r="D231" t="s">
        <v>1510</v>
      </c>
      <c r="E231">
        <v>333.42</v>
      </c>
      <c r="F231" t="s">
        <v>1502</v>
      </c>
      <c r="G231" t="s">
        <v>1505</v>
      </c>
    </row>
    <row r="232" spans="1:7" x14ac:dyDescent="0.55000000000000004">
      <c r="A232">
        <v>897</v>
      </c>
      <c r="B232" t="s">
        <v>1517</v>
      </c>
      <c r="C232" t="s">
        <v>1193</v>
      </c>
      <c r="D232" t="s">
        <v>1342</v>
      </c>
      <c r="E232">
        <v>333.42</v>
      </c>
      <c r="F232" t="s">
        <v>1502</v>
      </c>
      <c r="G232" t="s">
        <v>1505</v>
      </c>
    </row>
    <row r="233" spans="1:7" x14ac:dyDescent="0.55000000000000004">
      <c r="A233">
        <v>898</v>
      </c>
      <c r="B233" t="s">
        <v>1518</v>
      </c>
      <c r="C233" t="s">
        <v>1193</v>
      </c>
      <c r="D233" t="s">
        <v>1354</v>
      </c>
      <c r="E233">
        <v>333.42</v>
      </c>
      <c r="F233" t="s">
        <v>1502</v>
      </c>
      <c r="G233" t="s">
        <v>1505</v>
      </c>
    </row>
    <row r="234" spans="1:7" x14ac:dyDescent="0.55000000000000004">
      <c r="A234">
        <v>899</v>
      </c>
      <c r="B234" t="s">
        <v>1519</v>
      </c>
      <c r="C234" t="s">
        <v>1285</v>
      </c>
      <c r="D234" t="s">
        <v>1356</v>
      </c>
      <c r="E234">
        <v>333.42</v>
      </c>
      <c r="F234" t="s">
        <v>1502</v>
      </c>
      <c r="G234" t="s">
        <v>1505</v>
      </c>
    </row>
    <row r="235" spans="1:7" x14ac:dyDescent="0.55000000000000004">
      <c r="A235">
        <v>900</v>
      </c>
      <c r="B235" t="s">
        <v>1520</v>
      </c>
      <c r="C235" t="s">
        <v>1285</v>
      </c>
      <c r="D235" t="s">
        <v>1508</v>
      </c>
      <c r="E235">
        <v>333.42</v>
      </c>
      <c r="F235" t="s">
        <v>1502</v>
      </c>
      <c r="G235" t="s">
        <v>1505</v>
      </c>
    </row>
    <row r="236" spans="1:7" x14ac:dyDescent="0.55000000000000004">
      <c r="A236">
        <v>901</v>
      </c>
      <c r="B236" t="s">
        <v>1521</v>
      </c>
      <c r="C236" t="s">
        <v>1285</v>
      </c>
      <c r="D236" t="s">
        <v>1510</v>
      </c>
      <c r="E236">
        <v>333.42</v>
      </c>
      <c r="F236" t="s">
        <v>1502</v>
      </c>
      <c r="G236" t="s">
        <v>1505</v>
      </c>
    </row>
    <row r="237" spans="1:7" x14ac:dyDescent="0.55000000000000004">
      <c r="A237">
        <v>902</v>
      </c>
      <c r="B237" t="s">
        <v>1522</v>
      </c>
      <c r="C237" t="s">
        <v>1285</v>
      </c>
      <c r="D237" t="s">
        <v>1342</v>
      </c>
      <c r="E237">
        <v>333.42</v>
      </c>
      <c r="F237" t="s">
        <v>1502</v>
      </c>
      <c r="G237" t="s">
        <v>1505</v>
      </c>
    </row>
    <row r="238" spans="1:7" x14ac:dyDescent="0.55000000000000004">
      <c r="A238">
        <v>903</v>
      </c>
      <c r="B238" t="s">
        <v>1523</v>
      </c>
      <c r="C238" t="s">
        <v>1193</v>
      </c>
      <c r="D238" t="s">
        <v>1356</v>
      </c>
      <c r="E238">
        <v>333.42</v>
      </c>
      <c r="F238" t="s">
        <v>1502</v>
      </c>
      <c r="G238" t="s">
        <v>1505</v>
      </c>
    </row>
    <row r="239" spans="1:7" x14ac:dyDescent="0.55000000000000004">
      <c r="A239">
        <v>904</v>
      </c>
      <c r="B239" t="s">
        <v>1524</v>
      </c>
      <c r="C239" t="s">
        <v>1288</v>
      </c>
      <c r="D239" t="s">
        <v>1444</v>
      </c>
      <c r="E239">
        <v>364.09</v>
      </c>
      <c r="F239" t="s">
        <v>1385</v>
      </c>
      <c r="G239" t="s">
        <v>1463</v>
      </c>
    </row>
    <row r="240" spans="1:7" x14ac:dyDescent="0.55000000000000004">
      <c r="A240">
        <v>905</v>
      </c>
      <c r="B240" t="s">
        <v>1525</v>
      </c>
      <c r="C240" t="s">
        <v>1288</v>
      </c>
      <c r="D240" t="s">
        <v>1384</v>
      </c>
      <c r="E240">
        <v>364.09</v>
      </c>
      <c r="F240" t="s">
        <v>1385</v>
      </c>
      <c r="G240" t="s">
        <v>1463</v>
      </c>
    </row>
    <row r="241" spans="1:7" x14ac:dyDescent="0.55000000000000004">
      <c r="A241">
        <v>906</v>
      </c>
      <c r="B241" t="s">
        <v>1526</v>
      </c>
      <c r="C241" t="s">
        <v>1288</v>
      </c>
      <c r="D241" t="s">
        <v>1390</v>
      </c>
      <c r="E241">
        <v>364.09</v>
      </c>
      <c r="F241" t="s">
        <v>1385</v>
      </c>
      <c r="G241" t="s">
        <v>1463</v>
      </c>
    </row>
    <row r="242" spans="1:7" x14ac:dyDescent="0.55000000000000004">
      <c r="A242">
        <v>917</v>
      </c>
      <c r="B242" t="s">
        <v>1527</v>
      </c>
      <c r="C242" t="s">
        <v>1288</v>
      </c>
      <c r="D242" t="s">
        <v>1384</v>
      </c>
      <c r="E242">
        <v>264.05</v>
      </c>
      <c r="F242" t="s">
        <v>1385</v>
      </c>
      <c r="G242" t="s">
        <v>1528</v>
      </c>
    </row>
    <row r="243" spans="1:7" x14ac:dyDescent="0.55000000000000004">
      <c r="A243">
        <v>918</v>
      </c>
      <c r="B243" t="s">
        <v>1529</v>
      </c>
      <c r="C243" t="s">
        <v>1288</v>
      </c>
      <c r="D243" t="s">
        <v>1356</v>
      </c>
      <c r="E243">
        <v>264.05</v>
      </c>
      <c r="F243" t="s">
        <v>1385</v>
      </c>
      <c r="G243" t="s">
        <v>1528</v>
      </c>
    </row>
    <row r="244" spans="1:7" x14ac:dyDescent="0.55000000000000004">
      <c r="A244">
        <v>919</v>
      </c>
      <c r="B244" t="s">
        <v>1530</v>
      </c>
      <c r="C244" t="s">
        <v>1288</v>
      </c>
      <c r="D244" t="s">
        <v>1358</v>
      </c>
      <c r="E244">
        <v>264.05</v>
      </c>
      <c r="F244" t="s">
        <v>1385</v>
      </c>
      <c r="G244" t="s">
        <v>1528</v>
      </c>
    </row>
    <row r="245" spans="1:7" x14ac:dyDescent="0.55000000000000004">
      <c r="A245">
        <v>920</v>
      </c>
      <c r="B245" t="s">
        <v>1531</v>
      </c>
      <c r="C245" t="s">
        <v>1288</v>
      </c>
      <c r="D245" t="s">
        <v>1360</v>
      </c>
      <c r="E245">
        <v>264.05</v>
      </c>
      <c r="F245" t="s">
        <v>1385</v>
      </c>
      <c r="G245" t="s">
        <v>1528</v>
      </c>
    </row>
    <row r="246" spans="1:7" x14ac:dyDescent="0.55000000000000004">
      <c r="A246">
        <v>924</v>
      </c>
      <c r="B246" t="s">
        <v>1532</v>
      </c>
      <c r="C246" t="s">
        <v>1187</v>
      </c>
      <c r="D246" t="s">
        <v>1384</v>
      </c>
      <c r="E246">
        <v>249.79</v>
      </c>
      <c r="F246" t="s">
        <v>1385</v>
      </c>
      <c r="G246" t="s">
        <v>1528</v>
      </c>
    </row>
    <row r="247" spans="1:7" x14ac:dyDescent="0.55000000000000004">
      <c r="A247">
        <v>925</v>
      </c>
      <c r="B247" t="s">
        <v>1533</v>
      </c>
      <c r="C247" t="s">
        <v>1187</v>
      </c>
      <c r="D247" t="s">
        <v>1356</v>
      </c>
      <c r="E247">
        <v>249.79</v>
      </c>
      <c r="F247" t="s">
        <v>1385</v>
      </c>
      <c r="G247" t="s">
        <v>1528</v>
      </c>
    </row>
    <row r="248" spans="1:7" x14ac:dyDescent="0.55000000000000004">
      <c r="A248">
        <v>926</v>
      </c>
      <c r="B248" t="s">
        <v>1534</v>
      </c>
      <c r="C248" t="s">
        <v>1187</v>
      </c>
      <c r="D248" t="s">
        <v>1358</v>
      </c>
      <c r="E248">
        <v>249.79</v>
      </c>
      <c r="F248" t="s">
        <v>1385</v>
      </c>
      <c r="G248" t="s">
        <v>1528</v>
      </c>
    </row>
    <row r="249" spans="1:7" x14ac:dyDescent="0.55000000000000004">
      <c r="A249">
        <v>927</v>
      </c>
      <c r="B249" t="s">
        <v>1535</v>
      </c>
      <c r="C249" t="s">
        <v>1187</v>
      </c>
      <c r="D249" t="s">
        <v>1360</v>
      </c>
      <c r="E249">
        <v>249.79</v>
      </c>
      <c r="F249" t="s">
        <v>1385</v>
      </c>
      <c r="G249" t="s">
        <v>1528</v>
      </c>
    </row>
    <row r="250" spans="1:7" x14ac:dyDescent="0.55000000000000004">
      <c r="A250">
        <v>942</v>
      </c>
      <c r="B250" t="s">
        <v>1536</v>
      </c>
      <c r="C250" t="s">
        <v>1288</v>
      </c>
      <c r="D250" t="s">
        <v>1396</v>
      </c>
      <c r="E250">
        <v>364.09</v>
      </c>
      <c r="F250" t="s">
        <v>1385</v>
      </c>
      <c r="G250" t="s">
        <v>1463</v>
      </c>
    </row>
    <row r="251" spans="1:7" x14ac:dyDescent="0.55000000000000004">
      <c r="A251">
        <v>943</v>
      </c>
      <c r="B251" t="s">
        <v>1537</v>
      </c>
      <c r="C251" t="s">
        <v>1187</v>
      </c>
      <c r="D251" t="s">
        <v>1444</v>
      </c>
      <c r="E251">
        <v>249.79</v>
      </c>
      <c r="F251" t="s">
        <v>1385</v>
      </c>
      <c r="G251" t="s">
        <v>1528</v>
      </c>
    </row>
    <row r="252" spans="1:7" x14ac:dyDescent="0.55000000000000004">
      <c r="A252">
        <v>944</v>
      </c>
      <c r="B252" t="s">
        <v>1538</v>
      </c>
      <c r="C252" t="s">
        <v>1288</v>
      </c>
      <c r="D252" t="s">
        <v>1444</v>
      </c>
      <c r="E252">
        <v>264.05</v>
      </c>
      <c r="F252" t="s">
        <v>1385</v>
      </c>
      <c r="G252" t="s">
        <v>1528</v>
      </c>
    </row>
    <row r="253" spans="1:7" x14ac:dyDescent="0.55000000000000004">
      <c r="A253">
        <v>953</v>
      </c>
      <c r="B253" t="s">
        <v>1539</v>
      </c>
      <c r="C253" t="s">
        <v>1193</v>
      </c>
      <c r="D253" t="s">
        <v>1366</v>
      </c>
      <c r="E253">
        <v>1214.8499999999999</v>
      </c>
      <c r="F253" t="s">
        <v>1540</v>
      </c>
      <c r="G253" t="s">
        <v>1541</v>
      </c>
    </row>
    <row r="254" spans="1:7" x14ac:dyDescent="0.55000000000000004">
      <c r="A254">
        <v>954</v>
      </c>
      <c r="B254" t="s">
        <v>1542</v>
      </c>
      <c r="C254" t="s">
        <v>1285</v>
      </c>
      <c r="D254" t="s">
        <v>1390</v>
      </c>
      <c r="E254">
        <v>2384.0700000000002</v>
      </c>
      <c r="F254" t="s">
        <v>1540</v>
      </c>
      <c r="G254" t="s">
        <v>1543</v>
      </c>
    </row>
    <row r="255" spans="1:7" x14ac:dyDescent="0.55000000000000004">
      <c r="A255">
        <v>955</v>
      </c>
      <c r="B255" t="s">
        <v>1544</v>
      </c>
      <c r="C255" t="s">
        <v>1285</v>
      </c>
      <c r="D255" t="s">
        <v>1508</v>
      </c>
      <c r="E255">
        <v>2384.0700000000002</v>
      </c>
      <c r="F255" t="s">
        <v>1540</v>
      </c>
      <c r="G255" t="s">
        <v>1543</v>
      </c>
    </row>
    <row r="256" spans="1:7" x14ac:dyDescent="0.55000000000000004">
      <c r="A256">
        <v>956</v>
      </c>
      <c r="B256" t="s">
        <v>1545</v>
      </c>
      <c r="C256" t="s">
        <v>1285</v>
      </c>
      <c r="D256" t="s">
        <v>1510</v>
      </c>
      <c r="E256">
        <v>2384.0700000000002</v>
      </c>
      <c r="F256" t="s">
        <v>1540</v>
      </c>
      <c r="G256" t="s">
        <v>1543</v>
      </c>
    </row>
    <row r="257" spans="1:7" x14ac:dyDescent="0.55000000000000004">
      <c r="A257">
        <v>957</v>
      </c>
      <c r="B257" t="s">
        <v>1546</v>
      </c>
      <c r="C257" t="s">
        <v>1285</v>
      </c>
      <c r="D257" t="s">
        <v>1366</v>
      </c>
      <c r="E257">
        <v>2384.0700000000002</v>
      </c>
      <c r="F257" t="s">
        <v>1540</v>
      </c>
      <c r="G257" t="s">
        <v>1543</v>
      </c>
    </row>
    <row r="258" spans="1:7" x14ac:dyDescent="0.55000000000000004">
      <c r="A258">
        <v>958</v>
      </c>
      <c r="B258" t="s">
        <v>1547</v>
      </c>
      <c r="C258" t="s">
        <v>1193</v>
      </c>
      <c r="D258" t="s">
        <v>1510</v>
      </c>
      <c r="E258">
        <v>742.35</v>
      </c>
      <c r="F258" t="s">
        <v>1540</v>
      </c>
      <c r="G258" t="s">
        <v>1548</v>
      </c>
    </row>
    <row r="259" spans="1:7" x14ac:dyDescent="0.55000000000000004">
      <c r="A259">
        <v>959</v>
      </c>
      <c r="B259" t="s">
        <v>1549</v>
      </c>
      <c r="C259" t="s">
        <v>1193</v>
      </c>
      <c r="D259" t="s">
        <v>1342</v>
      </c>
      <c r="E259">
        <v>742.35</v>
      </c>
      <c r="F259" t="s">
        <v>1540</v>
      </c>
      <c r="G259" t="s">
        <v>1548</v>
      </c>
    </row>
    <row r="260" spans="1:7" x14ac:dyDescent="0.55000000000000004">
      <c r="A260">
        <v>960</v>
      </c>
      <c r="B260" t="s">
        <v>1550</v>
      </c>
      <c r="C260" t="s">
        <v>1193</v>
      </c>
      <c r="D260" t="s">
        <v>1354</v>
      </c>
      <c r="E260">
        <v>742.35</v>
      </c>
      <c r="F260" t="s">
        <v>1540</v>
      </c>
      <c r="G260" t="s">
        <v>1548</v>
      </c>
    </row>
    <row r="261" spans="1:7" x14ac:dyDescent="0.55000000000000004">
      <c r="A261">
        <v>961</v>
      </c>
      <c r="B261" t="s">
        <v>1551</v>
      </c>
      <c r="C261" t="s">
        <v>1285</v>
      </c>
      <c r="D261" t="s">
        <v>1356</v>
      </c>
      <c r="E261">
        <v>742.35</v>
      </c>
      <c r="F261" t="s">
        <v>1540</v>
      </c>
      <c r="G261" t="s">
        <v>1548</v>
      </c>
    </row>
    <row r="262" spans="1:7" x14ac:dyDescent="0.55000000000000004">
      <c r="A262">
        <v>962</v>
      </c>
      <c r="B262" t="s">
        <v>1552</v>
      </c>
      <c r="C262" t="s">
        <v>1285</v>
      </c>
      <c r="D262" t="s">
        <v>1508</v>
      </c>
      <c r="E262">
        <v>742.35</v>
      </c>
      <c r="F262" t="s">
        <v>1540</v>
      </c>
      <c r="G262" t="s">
        <v>1548</v>
      </c>
    </row>
    <row r="263" spans="1:7" x14ac:dyDescent="0.55000000000000004">
      <c r="A263">
        <v>963</v>
      </c>
      <c r="B263" t="s">
        <v>1553</v>
      </c>
      <c r="C263" t="s">
        <v>1285</v>
      </c>
      <c r="D263" t="s">
        <v>1510</v>
      </c>
      <c r="E263">
        <v>742.35</v>
      </c>
      <c r="F263" t="s">
        <v>1540</v>
      </c>
      <c r="G263" t="s">
        <v>1548</v>
      </c>
    </row>
    <row r="264" spans="1:7" x14ac:dyDescent="0.55000000000000004">
      <c r="A264">
        <v>964</v>
      </c>
      <c r="B264" t="s">
        <v>1554</v>
      </c>
      <c r="C264" t="s">
        <v>1285</v>
      </c>
      <c r="D264" t="s">
        <v>1342</v>
      </c>
      <c r="E264">
        <v>742.35</v>
      </c>
      <c r="F264" t="s">
        <v>1540</v>
      </c>
      <c r="G264" t="s">
        <v>1548</v>
      </c>
    </row>
    <row r="265" spans="1:7" x14ac:dyDescent="0.55000000000000004">
      <c r="A265">
        <v>965</v>
      </c>
      <c r="B265" t="s">
        <v>1555</v>
      </c>
      <c r="C265" t="s">
        <v>1285</v>
      </c>
      <c r="D265" t="s">
        <v>1354</v>
      </c>
      <c r="E265">
        <v>742.35</v>
      </c>
      <c r="F265" t="s">
        <v>1540</v>
      </c>
      <c r="G265" t="s">
        <v>1548</v>
      </c>
    </row>
    <row r="266" spans="1:7" x14ac:dyDescent="0.55000000000000004">
      <c r="A266">
        <v>966</v>
      </c>
      <c r="B266" t="s">
        <v>1556</v>
      </c>
      <c r="C266" t="s">
        <v>1193</v>
      </c>
      <c r="D266" t="s">
        <v>1390</v>
      </c>
      <c r="E266">
        <v>2384.0700000000002</v>
      </c>
      <c r="F266" t="s">
        <v>1540</v>
      </c>
      <c r="G266" t="s">
        <v>1543</v>
      </c>
    </row>
    <row r="267" spans="1:7" x14ac:dyDescent="0.55000000000000004">
      <c r="A267">
        <v>967</v>
      </c>
      <c r="B267" t="s">
        <v>1557</v>
      </c>
      <c r="C267" t="s">
        <v>1193</v>
      </c>
      <c r="D267" t="s">
        <v>1508</v>
      </c>
      <c r="E267">
        <v>2384.0700000000002</v>
      </c>
      <c r="F267" t="s">
        <v>1540</v>
      </c>
      <c r="G267" t="s">
        <v>1543</v>
      </c>
    </row>
    <row r="268" spans="1:7" x14ac:dyDescent="0.55000000000000004">
      <c r="A268">
        <v>968</v>
      </c>
      <c r="B268" t="s">
        <v>1558</v>
      </c>
      <c r="C268" t="s">
        <v>1193</v>
      </c>
      <c r="D268" t="s">
        <v>1510</v>
      </c>
      <c r="E268">
        <v>2384.0700000000002</v>
      </c>
      <c r="F268" t="s">
        <v>1540</v>
      </c>
      <c r="G268" t="s">
        <v>1543</v>
      </c>
    </row>
    <row r="269" spans="1:7" x14ac:dyDescent="0.55000000000000004">
      <c r="A269">
        <v>969</v>
      </c>
      <c r="B269" t="s">
        <v>1559</v>
      </c>
      <c r="C269" t="s">
        <v>1193</v>
      </c>
      <c r="D269" t="s">
        <v>1366</v>
      </c>
      <c r="E269">
        <v>2384.0700000000002</v>
      </c>
      <c r="F269" t="s">
        <v>1540</v>
      </c>
      <c r="G269" t="s">
        <v>1543</v>
      </c>
    </row>
    <row r="270" spans="1:7" x14ac:dyDescent="0.55000000000000004">
      <c r="A270">
        <v>970</v>
      </c>
      <c r="B270" t="s">
        <v>1560</v>
      </c>
      <c r="C270" t="s">
        <v>1193</v>
      </c>
      <c r="D270" t="s">
        <v>1390</v>
      </c>
      <c r="E270">
        <v>1214.8499999999999</v>
      </c>
      <c r="F270" t="s">
        <v>1540</v>
      </c>
      <c r="G270" t="s">
        <v>1541</v>
      </c>
    </row>
    <row r="271" spans="1:7" x14ac:dyDescent="0.55000000000000004">
      <c r="A271">
        <v>971</v>
      </c>
      <c r="B271" t="s">
        <v>1561</v>
      </c>
      <c r="C271" t="s">
        <v>1193</v>
      </c>
      <c r="D271" t="s">
        <v>1508</v>
      </c>
      <c r="E271">
        <v>1214.8499999999999</v>
      </c>
      <c r="F271" t="s">
        <v>1540</v>
      </c>
      <c r="G271" t="s">
        <v>1541</v>
      </c>
    </row>
    <row r="272" spans="1:7" x14ac:dyDescent="0.55000000000000004">
      <c r="A272">
        <v>972</v>
      </c>
      <c r="B272" t="s">
        <v>1562</v>
      </c>
      <c r="C272" t="s">
        <v>1193</v>
      </c>
      <c r="D272" t="s">
        <v>1510</v>
      </c>
      <c r="E272">
        <v>1214.8499999999999</v>
      </c>
      <c r="F272" t="s">
        <v>1540</v>
      </c>
      <c r="G272" t="s">
        <v>1541</v>
      </c>
    </row>
    <row r="273" spans="1:7" x14ac:dyDescent="0.55000000000000004">
      <c r="A273">
        <v>973</v>
      </c>
      <c r="B273" t="s">
        <v>1563</v>
      </c>
      <c r="C273" t="s">
        <v>1285</v>
      </c>
      <c r="D273" t="s">
        <v>1444</v>
      </c>
      <c r="E273">
        <v>1700.99</v>
      </c>
      <c r="F273" t="s">
        <v>1399</v>
      </c>
      <c r="G273" t="s">
        <v>1564</v>
      </c>
    </row>
    <row r="274" spans="1:7" x14ac:dyDescent="0.55000000000000004">
      <c r="A274">
        <v>974</v>
      </c>
      <c r="B274" t="s">
        <v>1565</v>
      </c>
      <c r="C274" t="s">
        <v>1285</v>
      </c>
      <c r="D274" t="s">
        <v>1384</v>
      </c>
      <c r="E274">
        <v>1700.99</v>
      </c>
      <c r="F274" t="s">
        <v>1399</v>
      </c>
      <c r="G274" t="s">
        <v>1564</v>
      </c>
    </row>
    <row r="275" spans="1:7" x14ac:dyDescent="0.55000000000000004">
      <c r="A275">
        <v>975</v>
      </c>
      <c r="B275" t="s">
        <v>1566</v>
      </c>
      <c r="C275" t="s">
        <v>1285</v>
      </c>
      <c r="D275" t="s">
        <v>1356</v>
      </c>
      <c r="E275">
        <v>1700.99</v>
      </c>
      <c r="F275" t="s">
        <v>1399</v>
      </c>
      <c r="G275" t="s">
        <v>1564</v>
      </c>
    </row>
    <row r="276" spans="1:7" x14ac:dyDescent="0.55000000000000004">
      <c r="A276">
        <v>976</v>
      </c>
      <c r="B276" t="s">
        <v>1567</v>
      </c>
      <c r="C276" t="s">
        <v>1285</v>
      </c>
      <c r="D276" t="s">
        <v>1358</v>
      </c>
      <c r="E276">
        <v>1700.99</v>
      </c>
      <c r="F276" t="s">
        <v>1399</v>
      </c>
      <c r="G276" t="s">
        <v>1564</v>
      </c>
    </row>
    <row r="277" spans="1:7" x14ac:dyDescent="0.55000000000000004">
      <c r="A277">
        <v>977</v>
      </c>
      <c r="B277" t="s">
        <v>1568</v>
      </c>
      <c r="C277" t="s">
        <v>1187</v>
      </c>
      <c r="D277" t="s">
        <v>1342</v>
      </c>
      <c r="E277">
        <v>539.99</v>
      </c>
      <c r="F277" t="s">
        <v>1399</v>
      </c>
      <c r="G277" t="s">
        <v>1569</v>
      </c>
    </row>
    <row r="278" spans="1:7" x14ac:dyDescent="0.55000000000000004">
      <c r="A278">
        <v>978</v>
      </c>
      <c r="B278" t="s">
        <v>1570</v>
      </c>
      <c r="C278" t="s">
        <v>1193</v>
      </c>
      <c r="D278" t="s">
        <v>1356</v>
      </c>
      <c r="E278">
        <v>742.35</v>
      </c>
      <c r="F278" t="s">
        <v>1540</v>
      </c>
      <c r="G278" t="s">
        <v>1548</v>
      </c>
    </row>
    <row r="279" spans="1:7" x14ac:dyDescent="0.55000000000000004">
      <c r="A279">
        <v>979</v>
      </c>
      <c r="B279" t="s">
        <v>1571</v>
      </c>
      <c r="C279" t="s">
        <v>1193</v>
      </c>
      <c r="D279" t="s">
        <v>1508</v>
      </c>
      <c r="E279">
        <v>742.35</v>
      </c>
      <c r="F279" t="s">
        <v>1540</v>
      </c>
      <c r="G279" t="s">
        <v>1548</v>
      </c>
    </row>
    <row r="280" spans="1:7" x14ac:dyDescent="0.55000000000000004">
      <c r="A280">
        <v>980</v>
      </c>
      <c r="B280" t="s">
        <v>1572</v>
      </c>
      <c r="C280" t="s">
        <v>1288</v>
      </c>
      <c r="D280" t="s">
        <v>1396</v>
      </c>
      <c r="E280">
        <v>769.49</v>
      </c>
      <c r="F280" t="s">
        <v>1425</v>
      </c>
      <c r="G280" t="s">
        <v>1573</v>
      </c>
    </row>
    <row r="281" spans="1:7" x14ac:dyDescent="0.55000000000000004">
      <c r="A281">
        <v>981</v>
      </c>
      <c r="B281" t="s">
        <v>1574</v>
      </c>
      <c r="C281" t="s">
        <v>1288</v>
      </c>
      <c r="D281" t="s">
        <v>1444</v>
      </c>
      <c r="E281">
        <v>769.49</v>
      </c>
      <c r="F281" t="s">
        <v>1425</v>
      </c>
      <c r="G281" t="s">
        <v>1573</v>
      </c>
    </row>
    <row r="282" spans="1:7" x14ac:dyDescent="0.55000000000000004">
      <c r="A282">
        <v>982</v>
      </c>
      <c r="B282" t="s">
        <v>1575</v>
      </c>
      <c r="C282" t="s">
        <v>1288</v>
      </c>
      <c r="D282" t="s">
        <v>1384</v>
      </c>
      <c r="E282">
        <v>769.49</v>
      </c>
      <c r="F282" t="s">
        <v>1425</v>
      </c>
      <c r="G282" t="s">
        <v>1573</v>
      </c>
    </row>
    <row r="283" spans="1:7" x14ac:dyDescent="0.55000000000000004">
      <c r="A283">
        <v>983</v>
      </c>
      <c r="B283" t="s">
        <v>1576</v>
      </c>
      <c r="C283" t="s">
        <v>1288</v>
      </c>
      <c r="D283" t="s">
        <v>1390</v>
      </c>
      <c r="E283">
        <v>769.49</v>
      </c>
      <c r="F283" t="s">
        <v>1425</v>
      </c>
      <c r="G283" t="s">
        <v>1573</v>
      </c>
    </row>
    <row r="284" spans="1:7" x14ac:dyDescent="0.55000000000000004">
      <c r="A284">
        <v>984</v>
      </c>
      <c r="B284" t="s">
        <v>1577</v>
      </c>
      <c r="C284" t="s">
        <v>1288</v>
      </c>
      <c r="D284" t="s">
        <v>1444</v>
      </c>
      <c r="E284">
        <v>564.99</v>
      </c>
      <c r="F284" t="s">
        <v>1425</v>
      </c>
      <c r="G284" t="s">
        <v>1578</v>
      </c>
    </row>
    <row r="285" spans="1:7" x14ac:dyDescent="0.55000000000000004">
      <c r="A285">
        <v>985</v>
      </c>
      <c r="B285" t="s">
        <v>1579</v>
      </c>
      <c r="C285" t="s">
        <v>1288</v>
      </c>
      <c r="D285" t="s">
        <v>1384</v>
      </c>
      <c r="E285">
        <v>564.99</v>
      </c>
      <c r="F285" t="s">
        <v>1425</v>
      </c>
      <c r="G285" t="s">
        <v>1578</v>
      </c>
    </row>
    <row r="286" spans="1:7" x14ac:dyDescent="0.55000000000000004">
      <c r="A286">
        <v>986</v>
      </c>
      <c r="B286" t="s">
        <v>1580</v>
      </c>
      <c r="C286" t="s">
        <v>1288</v>
      </c>
      <c r="D286" t="s">
        <v>1356</v>
      </c>
      <c r="E286">
        <v>564.99</v>
      </c>
      <c r="F286" t="s">
        <v>1425</v>
      </c>
      <c r="G286" t="s">
        <v>1578</v>
      </c>
    </row>
    <row r="287" spans="1:7" x14ac:dyDescent="0.55000000000000004">
      <c r="A287">
        <v>987</v>
      </c>
      <c r="B287" t="s">
        <v>1581</v>
      </c>
      <c r="C287" t="s">
        <v>1288</v>
      </c>
      <c r="D287" t="s">
        <v>1358</v>
      </c>
      <c r="E287">
        <v>564.99</v>
      </c>
      <c r="F287" t="s">
        <v>1425</v>
      </c>
      <c r="G287" t="s">
        <v>1578</v>
      </c>
    </row>
    <row r="288" spans="1:7" x14ac:dyDescent="0.55000000000000004">
      <c r="A288">
        <v>988</v>
      </c>
      <c r="B288" t="s">
        <v>1582</v>
      </c>
      <c r="C288" t="s">
        <v>1288</v>
      </c>
      <c r="D288" t="s">
        <v>1360</v>
      </c>
      <c r="E288">
        <v>564.99</v>
      </c>
      <c r="F288" t="s">
        <v>1425</v>
      </c>
      <c r="G288" t="s">
        <v>1578</v>
      </c>
    </row>
    <row r="289" spans="1:7" x14ac:dyDescent="0.55000000000000004">
      <c r="A289">
        <v>989</v>
      </c>
      <c r="B289" t="s">
        <v>1583</v>
      </c>
      <c r="C289" t="s">
        <v>1187</v>
      </c>
      <c r="D289" t="s">
        <v>1444</v>
      </c>
      <c r="E289">
        <v>539.99</v>
      </c>
      <c r="F289" t="s">
        <v>1425</v>
      </c>
      <c r="G289" t="s">
        <v>1578</v>
      </c>
    </row>
    <row r="290" spans="1:7" x14ac:dyDescent="0.55000000000000004">
      <c r="A290">
        <v>990</v>
      </c>
      <c r="B290" t="s">
        <v>1584</v>
      </c>
      <c r="C290" t="s">
        <v>1187</v>
      </c>
      <c r="D290" t="s">
        <v>1384</v>
      </c>
      <c r="E290">
        <v>539.99</v>
      </c>
      <c r="F290" t="s">
        <v>1425</v>
      </c>
      <c r="G290" t="s">
        <v>1578</v>
      </c>
    </row>
    <row r="291" spans="1:7" x14ac:dyDescent="0.55000000000000004">
      <c r="A291">
        <v>991</v>
      </c>
      <c r="B291" t="s">
        <v>1585</v>
      </c>
      <c r="C291" t="s">
        <v>1187</v>
      </c>
      <c r="D291" t="s">
        <v>1356</v>
      </c>
      <c r="E291">
        <v>539.99</v>
      </c>
      <c r="F291" t="s">
        <v>1425</v>
      </c>
      <c r="G291" t="s">
        <v>1578</v>
      </c>
    </row>
    <row r="292" spans="1:7" x14ac:dyDescent="0.55000000000000004">
      <c r="A292">
        <v>992</v>
      </c>
      <c r="B292" t="s">
        <v>1586</v>
      </c>
      <c r="C292" t="s">
        <v>1187</v>
      </c>
      <c r="D292" t="s">
        <v>1358</v>
      </c>
      <c r="E292">
        <v>539.99</v>
      </c>
      <c r="F292" t="s">
        <v>1425</v>
      </c>
      <c r="G292" t="s">
        <v>1578</v>
      </c>
    </row>
    <row r="293" spans="1:7" x14ac:dyDescent="0.55000000000000004">
      <c r="A293">
        <v>993</v>
      </c>
      <c r="B293" t="s">
        <v>1587</v>
      </c>
      <c r="C293" t="s">
        <v>1187</v>
      </c>
      <c r="D293" t="s">
        <v>1360</v>
      </c>
      <c r="E293">
        <v>539.99</v>
      </c>
      <c r="F293" t="s">
        <v>1425</v>
      </c>
      <c r="G293" t="s">
        <v>1578</v>
      </c>
    </row>
    <row r="294" spans="1:7" x14ac:dyDescent="0.55000000000000004">
      <c r="A294">
        <v>997</v>
      </c>
      <c r="B294" t="s">
        <v>1588</v>
      </c>
      <c r="C294" t="s">
        <v>1187</v>
      </c>
      <c r="D294" t="s">
        <v>1356</v>
      </c>
      <c r="E294">
        <v>539.99</v>
      </c>
      <c r="F294" t="s">
        <v>1399</v>
      </c>
      <c r="G294" t="s">
        <v>1569</v>
      </c>
    </row>
    <row r="295" spans="1:7" x14ac:dyDescent="0.55000000000000004">
      <c r="A295">
        <v>998</v>
      </c>
      <c r="B295" t="s">
        <v>1589</v>
      </c>
      <c r="C295" t="s">
        <v>1187</v>
      </c>
      <c r="D295" t="s">
        <v>1358</v>
      </c>
      <c r="E295">
        <v>539.99</v>
      </c>
      <c r="F295" t="s">
        <v>1399</v>
      </c>
      <c r="G295" t="s">
        <v>1569</v>
      </c>
    </row>
    <row r="296" spans="1:7" x14ac:dyDescent="0.55000000000000004">
      <c r="A296">
        <v>999</v>
      </c>
      <c r="B296" t="s">
        <v>1590</v>
      </c>
      <c r="C296" t="s">
        <v>1187</v>
      </c>
      <c r="D296" t="s">
        <v>1360</v>
      </c>
      <c r="E296">
        <v>539.99</v>
      </c>
      <c r="F296" t="s">
        <v>1399</v>
      </c>
      <c r="G296" t="s">
        <v>1569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0A5D9-5E58-4D8C-BED2-F401DFFB6D1E}">
  <sheetPr>
    <tabColor rgb="FFFF0000"/>
  </sheetPr>
  <dimension ref="A1:G732"/>
  <sheetViews>
    <sheetView workbookViewId="0">
      <selection sqref="A1:G732"/>
    </sheetView>
  </sheetViews>
  <sheetFormatPr defaultRowHeight="14.4" x14ac:dyDescent="0.55000000000000004"/>
  <cols>
    <col min="1" max="1" width="14.15625" bestFit="1" customWidth="1"/>
    <col min="2" max="2" width="6.5234375" bestFit="1" customWidth="1"/>
    <col min="3" max="3" width="13.89453125" bestFit="1" customWidth="1"/>
    <col min="4" max="4" width="13.9453125" bestFit="1" customWidth="1"/>
    <col min="5" max="5" width="9.26171875" bestFit="1" customWidth="1"/>
    <col min="6" max="6" width="14.68359375" bestFit="1" customWidth="1"/>
    <col min="7" max="8" width="10.578125" bestFit="1" customWidth="1"/>
  </cols>
  <sheetData>
    <row r="1" spans="1:7" x14ac:dyDescent="0.55000000000000004">
      <c r="A1" t="s">
        <v>1622</v>
      </c>
      <c r="B1" t="s">
        <v>1591</v>
      </c>
      <c r="C1" t="s">
        <v>1617</v>
      </c>
      <c r="D1" t="s">
        <v>1618</v>
      </c>
      <c r="E1" t="s">
        <v>1619</v>
      </c>
      <c r="F1" t="s">
        <v>1621</v>
      </c>
      <c r="G1" t="s">
        <v>1620</v>
      </c>
    </row>
    <row r="2" spans="1:7" x14ac:dyDescent="0.55000000000000004">
      <c r="A2" s="1">
        <v>39448</v>
      </c>
      <c r="B2">
        <v>2008</v>
      </c>
      <c r="C2">
        <v>1</v>
      </c>
      <c r="D2" t="s">
        <v>1594</v>
      </c>
      <c r="E2" t="s">
        <v>1595</v>
      </c>
      <c r="F2">
        <v>1</v>
      </c>
      <c r="G2" t="s">
        <v>1596</v>
      </c>
    </row>
    <row r="3" spans="1:7" x14ac:dyDescent="0.55000000000000004">
      <c r="A3" s="1">
        <v>39449</v>
      </c>
      <c r="B3">
        <v>2008</v>
      </c>
      <c r="C3">
        <v>1</v>
      </c>
      <c r="D3" t="s">
        <v>1594</v>
      </c>
      <c r="E3" t="s">
        <v>1595</v>
      </c>
      <c r="F3">
        <v>1</v>
      </c>
      <c r="G3" t="s">
        <v>1597</v>
      </c>
    </row>
    <row r="4" spans="1:7" x14ac:dyDescent="0.55000000000000004">
      <c r="A4" s="1">
        <v>39450</v>
      </c>
      <c r="B4">
        <v>2008</v>
      </c>
      <c r="C4">
        <v>1</v>
      </c>
      <c r="D4" t="s">
        <v>1594</v>
      </c>
      <c r="E4" t="s">
        <v>1595</v>
      </c>
      <c r="F4">
        <v>1</v>
      </c>
      <c r="G4" t="s">
        <v>1598</v>
      </c>
    </row>
    <row r="5" spans="1:7" x14ac:dyDescent="0.55000000000000004">
      <c r="A5" s="1">
        <v>39451</v>
      </c>
      <c r="B5">
        <v>2008</v>
      </c>
      <c r="C5">
        <v>1</v>
      </c>
      <c r="D5" t="s">
        <v>1594</v>
      </c>
      <c r="E5" t="s">
        <v>1595</v>
      </c>
      <c r="F5">
        <v>1</v>
      </c>
      <c r="G5" t="s">
        <v>1599</v>
      </c>
    </row>
    <row r="6" spans="1:7" x14ac:dyDescent="0.55000000000000004">
      <c r="A6" s="1">
        <v>39452</v>
      </c>
      <c r="B6">
        <v>2008</v>
      </c>
      <c r="C6">
        <v>1</v>
      </c>
      <c r="D6" t="s">
        <v>1594</v>
      </c>
      <c r="E6" t="s">
        <v>1595</v>
      </c>
      <c r="F6">
        <v>1</v>
      </c>
      <c r="G6" t="s">
        <v>1600</v>
      </c>
    </row>
    <row r="7" spans="1:7" x14ac:dyDescent="0.55000000000000004">
      <c r="A7" s="1">
        <v>39453</v>
      </c>
      <c r="B7">
        <v>2008</v>
      </c>
      <c r="C7">
        <v>1</v>
      </c>
      <c r="D7" t="s">
        <v>1594</v>
      </c>
      <c r="E7" t="s">
        <v>1595</v>
      </c>
      <c r="F7">
        <v>2</v>
      </c>
      <c r="G7" t="s">
        <v>1601</v>
      </c>
    </row>
    <row r="8" spans="1:7" x14ac:dyDescent="0.55000000000000004">
      <c r="A8" s="1">
        <v>39454</v>
      </c>
      <c r="B8">
        <v>2008</v>
      </c>
      <c r="C8">
        <v>1</v>
      </c>
      <c r="D8" t="s">
        <v>1594</v>
      </c>
      <c r="E8" t="s">
        <v>1595</v>
      </c>
      <c r="F8">
        <v>2</v>
      </c>
      <c r="G8" t="s">
        <v>1602</v>
      </c>
    </row>
    <row r="9" spans="1:7" x14ac:dyDescent="0.55000000000000004">
      <c r="A9" s="1">
        <v>39455</v>
      </c>
      <c r="B9">
        <v>2008</v>
      </c>
      <c r="C9">
        <v>1</v>
      </c>
      <c r="D9" t="s">
        <v>1594</v>
      </c>
      <c r="E9" t="s">
        <v>1595</v>
      </c>
      <c r="F9">
        <v>2</v>
      </c>
      <c r="G9" t="s">
        <v>1596</v>
      </c>
    </row>
    <row r="10" spans="1:7" x14ac:dyDescent="0.55000000000000004">
      <c r="A10" s="1">
        <v>39456</v>
      </c>
      <c r="B10">
        <v>2008</v>
      </c>
      <c r="C10">
        <v>1</v>
      </c>
      <c r="D10" t="s">
        <v>1594</v>
      </c>
      <c r="E10" t="s">
        <v>1595</v>
      </c>
      <c r="F10">
        <v>2</v>
      </c>
      <c r="G10" t="s">
        <v>1597</v>
      </c>
    </row>
    <row r="11" spans="1:7" x14ac:dyDescent="0.55000000000000004">
      <c r="A11" s="1">
        <v>39457</v>
      </c>
      <c r="B11">
        <v>2008</v>
      </c>
      <c r="C11">
        <v>1</v>
      </c>
      <c r="D11" t="s">
        <v>1594</v>
      </c>
      <c r="E11" t="s">
        <v>1595</v>
      </c>
      <c r="F11">
        <v>2</v>
      </c>
      <c r="G11" t="s">
        <v>1598</v>
      </c>
    </row>
    <row r="12" spans="1:7" x14ac:dyDescent="0.55000000000000004">
      <c r="A12" s="1">
        <v>39458</v>
      </c>
      <c r="B12">
        <v>2008</v>
      </c>
      <c r="C12">
        <v>1</v>
      </c>
      <c r="D12" t="s">
        <v>1594</v>
      </c>
      <c r="E12" t="s">
        <v>1595</v>
      </c>
      <c r="F12">
        <v>2</v>
      </c>
      <c r="G12" t="s">
        <v>1599</v>
      </c>
    </row>
    <row r="13" spans="1:7" x14ac:dyDescent="0.55000000000000004">
      <c r="A13" s="1">
        <v>39459</v>
      </c>
      <c r="B13">
        <v>2008</v>
      </c>
      <c r="C13">
        <v>1</v>
      </c>
      <c r="D13" t="s">
        <v>1594</v>
      </c>
      <c r="E13" t="s">
        <v>1595</v>
      </c>
      <c r="F13">
        <v>2</v>
      </c>
      <c r="G13" t="s">
        <v>1600</v>
      </c>
    </row>
    <row r="14" spans="1:7" x14ac:dyDescent="0.55000000000000004">
      <c r="A14" s="1">
        <v>39460</v>
      </c>
      <c r="B14">
        <v>2008</v>
      </c>
      <c r="C14">
        <v>1</v>
      </c>
      <c r="D14" t="s">
        <v>1594</v>
      </c>
      <c r="E14" t="s">
        <v>1595</v>
      </c>
      <c r="F14">
        <v>3</v>
      </c>
      <c r="G14" t="s">
        <v>1601</v>
      </c>
    </row>
    <row r="15" spans="1:7" x14ac:dyDescent="0.55000000000000004">
      <c r="A15" s="1">
        <v>39461</v>
      </c>
      <c r="B15">
        <v>2008</v>
      </c>
      <c r="C15">
        <v>1</v>
      </c>
      <c r="D15" t="s">
        <v>1594</v>
      </c>
      <c r="E15" t="s">
        <v>1595</v>
      </c>
      <c r="F15">
        <v>3</v>
      </c>
      <c r="G15" t="s">
        <v>1602</v>
      </c>
    </row>
    <row r="16" spans="1:7" x14ac:dyDescent="0.55000000000000004">
      <c r="A16" s="1">
        <v>39462</v>
      </c>
      <c r="B16">
        <v>2008</v>
      </c>
      <c r="C16">
        <v>1</v>
      </c>
      <c r="D16" t="s">
        <v>1594</v>
      </c>
      <c r="E16" t="s">
        <v>1595</v>
      </c>
      <c r="F16">
        <v>3</v>
      </c>
      <c r="G16" t="s">
        <v>1596</v>
      </c>
    </row>
    <row r="17" spans="1:7" x14ac:dyDescent="0.55000000000000004">
      <c r="A17" s="1">
        <v>39463</v>
      </c>
      <c r="B17">
        <v>2008</v>
      </c>
      <c r="C17">
        <v>1</v>
      </c>
      <c r="D17" t="s">
        <v>1594</v>
      </c>
      <c r="E17" t="s">
        <v>1595</v>
      </c>
      <c r="F17">
        <v>3</v>
      </c>
      <c r="G17" t="s">
        <v>1597</v>
      </c>
    </row>
    <row r="18" spans="1:7" x14ac:dyDescent="0.55000000000000004">
      <c r="A18" s="1">
        <v>39464</v>
      </c>
      <c r="B18">
        <v>2008</v>
      </c>
      <c r="C18">
        <v>1</v>
      </c>
      <c r="D18" t="s">
        <v>1594</v>
      </c>
      <c r="E18" t="s">
        <v>1595</v>
      </c>
      <c r="F18">
        <v>3</v>
      </c>
      <c r="G18" t="s">
        <v>1598</v>
      </c>
    </row>
    <row r="19" spans="1:7" x14ac:dyDescent="0.55000000000000004">
      <c r="A19" s="1">
        <v>39465</v>
      </c>
      <c r="B19">
        <v>2008</v>
      </c>
      <c r="C19">
        <v>1</v>
      </c>
      <c r="D19" t="s">
        <v>1594</v>
      </c>
      <c r="E19" t="s">
        <v>1595</v>
      </c>
      <c r="F19">
        <v>3</v>
      </c>
      <c r="G19" t="s">
        <v>1599</v>
      </c>
    </row>
    <row r="20" spans="1:7" x14ac:dyDescent="0.55000000000000004">
      <c r="A20" s="1">
        <v>39466</v>
      </c>
      <c r="B20">
        <v>2008</v>
      </c>
      <c r="C20">
        <v>1</v>
      </c>
      <c r="D20" t="s">
        <v>1594</v>
      </c>
      <c r="E20" t="s">
        <v>1595</v>
      </c>
      <c r="F20">
        <v>3</v>
      </c>
      <c r="G20" t="s">
        <v>1600</v>
      </c>
    </row>
    <row r="21" spans="1:7" x14ac:dyDescent="0.55000000000000004">
      <c r="A21" s="1">
        <v>39467</v>
      </c>
      <c r="B21">
        <v>2008</v>
      </c>
      <c r="C21">
        <v>1</v>
      </c>
      <c r="D21" t="s">
        <v>1594</v>
      </c>
      <c r="E21" t="s">
        <v>1595</v>
      </c>
      <c r="F21">
        <v>4</v>
      </c>
      <c r="G21" t="s">
        <v>1601</v>
      </c>
    </row>
    <row r="22" spans="1:7" x14ac:dyDescent="0.55000000000000004">
      <c r="A22" s="1">
        <v>39468</v>
      </c>
      <c r="B22">
        <v>2008</v>
      </c>
      <c r="C22">
        <v>1</v>
      </c>
      <c r="D22" t="s">
        <v>1594</v>
      </c>
      <c r="E22" t="s">
        <v>1595</v>
      </c>
      <c r="F22">
        <v>4</v>
      </c>
      <c r="G22" t="s">
        <v>1602</v>
      </c>
    </row>
    <row r="23" spans="1:7" x14ac:dyDescent="0.55000000000000004">
      <c r="A23" s="1">
        <v>39469</v>
      </c>
      <c r="B23">
        <v>2008</v>
      </c>
      <c r="C23">
        <v>1</v>
      </c>
      <c r="D23" t="s">
        <v>1594</v>
      </c>
      <c r="E23" t="s">
        <v>1595</v>
      </c>
      <c r="F23">
        <v>4</v>
      </c>
      <c r="G23" t="s">
        <v>1596</v>
      </c>
    </row>
    <row r="24" spans="1:7" x14ac:dyDescent="0.55000000000000004">
      <c r="A24" s="1">
        <v>39470</v>
      </c>
      <c r="B24">
        <v>2008</v>
      </c>
      <c r="C24">
        <v>1</v>
      </c>
      <c r="D24" t="s">
        <v>1594</v>
      </c>
      <c r="E24" t="s">
        <v>1595</v>
      </c>
      <c r="F24">
        <v>4</v>
      </c>
      <c r="G24" t="s">
        <v>1597</v>
      </c>
    </row>
    <row r="25" spans="1:7" x14ac:dyDescent="0.55000000000000004">
      <c r="A25" s="1">
        <v>39471</v>
      </c>
      <c r="B25">
        <v>2008</v>
      </c>
      <c r="C25">
        <v>1</v>
      </c>
      <c r="D25" t="s">
        <v>1594</v>
      </c>
      <c r="E25" t="s">
        <v>1595</v>
      </c>
      <c r="F25">
        <v>4</v>
      </c>
      <c r="G25" t="s">
        <v>1598</v>
      </c>
    </row>
    <row r="26" spans="1:7" x14ac:dyDescent="0.55000000000000004">
      <c r="A26" s="1">
        <v>39472</v>
      </c>
      <c r="B26">
        <v>2008</v>
      </c>
      <c r="C26">
        <v>1</v>
      </c>
      <c r="D26" t="s">
        <v>1594</v>
      </c>
      <c r="E26" t="s">
        <v>1595</v>
      </c>
      <c r="F26">
        <v>4</v>
      </c>
      <c r="G26" t="s">
        <v>1599</v>
      </c>
    </row>
    <row r="27" spans="1:7" x14ac:dyDescent="0.55000000000000004">
      <c r="A27" s="1">
        <v>39473</v>
      </c>
      <c r="B27">
        <v>2008</v>
      </c>
      <c r="C27">
        <v>1</v>
      </c>
      <c r="D27" t="s">
        <v>1594</v>
      </c>
      <c r="E27" t="s">
        <v>1595</v>
      </c>
      <c r="F27">
        <v>4</v>
      </c>
      <c r="G27" t="s">
        <v>1600</v>
      </c>
    </row>
    <row r="28" spans="1:7" x14ac:dyDescent="0.55000000000000004">
      <c r="A28" s="1">
        <v>39474</v>
      </c>
      <c r="B28">
        <v>2008</v>
      </c>
      <c r="C28">
        <v>1</v>
      </c>
      <c r="D28" t="s">
        <v>1594</v>
      </c>
      <c r="E28" t="s">
        <v>1595</v>
      </c>
      <c r="F28">
        <v>5</v>
      </c>
      <c r="G28" t="s">
        <v>1601</v>
      </c>
    </row>
    <row r="29" spans="1:7" x14ac:dyDescent="0.55000000000000004">
      <c r="A29" s="1">
        <v>39475</v>
      </c>
      <c r="B29">
        <v>2008</v>
      </c>
      <c r="C29">
        <v>1</v>
      </c>
      <c r="D29" t="s">
        <v>1594</v>
      </c>
      <c r="E29" t="s">
        <v>1595</v>
      </c>
      <c r="F29">
        <v>5</v>
      </c>
      <c r="G29" t="s">
        <v>1602</v>
      </c>
    </row>
    <row r="30" spans="1:7" x14ac:dyDescent="0.55000000000000004">
      <c r="A30" s="1">
        <v>39476</v>
      </c>
      <c r="B30">
        <v>2008</v>
      </c>
      <c r="C30">
        <v>1</v>
      </c>
      <c r="D30" t="s">
        <v>1594</v>
      </c>
      <c r="E30" t="s">
        <v>1595</v>
      </c>
      <c r="F30">
        <v>5</v>
      </c>
      <c r="G30" t="s">
        <v>1596</v>
      </c>
    </row>
    <row r="31" spans="1:7" x14ac:dyDescent="0.55000000000000004">
      <c r="A31" s="1">
        <v>39477</v>
      </c>
      <c r="B31">
        <v>2008</v>
      </c>
      <c r="C31">
        <v>1</v>
      </c>
      <c r="D31" t="s">
        <v>1594</v>
      </c>
      <c r="E31" t="s">
        <v>1595</v>
      </c>
      <c r="F31">
        <v>5</v>
      </c>
      <c r="G31" t="s">
        <v>1597</v>
      </c>
    </row>
    <row r="32" spans="1:7" x14ac:dyDescent="0.55000000000000004">
      <c r="A32" s="1">
        <v>39478</v>
      </c>
      <c r="B32">
        <v>2008</v>
      </c>
      <c r="C32">
        <v>1</v>
      </c>
      <c r="D32" t="s">
        <v>1594</v>
      </c>
      <c r="E32" t="s">
        <v>1595</v>
      </c>
      <c r="F32">
        <v>5</v>
      </c>
      <c r="G32" t="s">
        <v>1598</v>
      </c>
    </row>
    <row r="33" spans="1:7" x14ac:dyDescent="0.55000000000000004">
      <c r="A33" s="1">
        <v>39479</v>
      </c>
      <c r="B33">
        <v>2008</v>
      </c>
      <c r="C33">
        <v>2</v>
      </c>
      <c r="D33" t="s">
        <v>1603</v>
      </c>
      <c r="E33" t="s">
        <v>1595</v>
      </c>
      <c r="F33">
        <v>5</v>
      </c>
      <c r="G33" t="s">
        <v>1599</v>
      </c>
    </row>
    <row r="34" spans="1:7" x14ac:dyDescent="0.55000000000000004">
      <c r="A34" s="1">
        <v>39480</v>
      </c>
      <c r="B34">
        <v>2008</v>
      </c>
      <c r="C34">
        <v>2</v>
      </c>
      <c r="D34" t="s">
        <v>1603</v>
      </c>
      <c r="E34" t="s">
        <v>1595</v>
      </c>
      <c r="F34">
        <v>5</v>
      </c>
      <c r="G34" t="s">
        <v>1600</v>
      </c>
    </row>
    <row r="35" spans="1:7" x14ac:dyDescent="0.55000000000000004">
      <c r="A35" s="1">
        <v>39481</v>
      </c>
      <c r="B35">
        <v>2008</v>
      </c>
      <c r="C35">
        <v>2</v>
      </c>
      <c r="D35" t="s">
        <v>1603</v>
      </c>
      <c r="E35" t="s">
        <v>1595</v>
      </c>
      <c r="F35">
        <v>6</v>
      </c>
      <c r="G35" t="s">
        <v>1601</v>
      </c>
    </row>
    <row r="36" spans="1:7" x14ac:dyDescent="0.55000000000000004">
      <c r="A36" s="1">
        <v>39482</v>
      </c>
      <c r="B36">
        <v>2008</v>
      </c>
      <c r="C36">
        <v>2</v>
      </c>
      <c r="D36" t="s">
        <v>1603</v>
      </c>
      <c r="E36" t="s">
        <v>1595</v>
      </c>
      <c r="F36">
        <v>6</v>
      </c>
      <c r="G36" t="s">
        <v>1602</v>
      </c>
    </row>
    <row r="37" spans="1:7" x14ac:dyDescent="0.55000000000000004">
      <c r="A37" s="1">
        <v>39483</v>
      </c>
      <c r="B37">
        <v>2008</v>
      </c>
      <c r="C37">
        <v>2</v>
      </c>
      <c r="D37" t="s">
        <v>1603</v>
      </c>
      <c r="E37" t="s">
        <v>1595</v>
      </c>
      <c r="F37">
        <v>6</v>
      </c>
      <c r="G37" t="s">
        <v>1596</v>
      </c>
    </row>
    <row r="38" spans="1:7" x14ac:dyDescent="0.55000000000000004">
      <c r="A38" s="1">
        <v>39484</v>
      </c>
      <c r="B38">
        <v>2008</v>
      </c>
      <c r="C38">
        <v>2</v>
      </c>
      <c r="D38" t="s">
        <v>1603</v>
      </c>
      <c r="E38" t="s">
        <v>1595</v>
      </c>
      <c r="F38">
        <v>6</v>
      </c>
      <c r="G38" t="s">
        <v>1597</v>
      </c>
    </row>
    <row r="39" spans="1:7" x14ac:dyDescent="0.55000000000000004">
      <c r="A39" s="1">
        <v>39485</v>
      </c>
      <c r="B39">
        <v>2008</v>
      </c>
      <c r="C39">
        <v>2</v>
      </c>
      <c r="D39" t="s">
        <v>1603</v>
      </c>
      <c r="E39" t="s">
        <v>1595</v>
      </c>
      <c r="F39">
        <v>6</v>
      </c>
      <c r="G39" t="s">
        <v>1598</v>
      </c>
    </row>
    <row r="40" spans="1:7" x14ac:dyDescent="0.55000000000000004">
      <c r="A40" s="1">
        <v>39486</v>
      </c>
      <c r="B40">
        <v>2008</v>
      </c>
      <c r="C40">
        <v>2</v>
      </c>
      <c r="D40" t="s">
        <v>1603</v>
      </c>
      <c r="E40" t="s">
        <v>1595</v>
      </c>
      <c r="F40">
        <v>6</v>
      </c>
      <c r="G40" t="s">
        <v>1599</v>
      </c>
    </row>
    <row r="41" spans="1:7" x14ac:dyDescent="0.55000000000000004">
      <c r="A41" s="1">
        <v>39487</v>
      </c>
      <c r="B41">
        <v>2008</v>
      </c>
      <c r="C41">
        <v>2</v>
      </c>
      <c r="D41" t="s">
        <v>1603</v>
      </c>
      <c r="E41" t="s">
        <v>1595</v>
      </c>
      <c r="F41">
        <v>6</v>
      </c>
      <c r="G41" t="s">
        <v>1600</v>
      </c>
    </row>
    <row r="42" spans="1:7" x14ac:dyDescent="0.55000000000000004">
      <c r="A42" s="1">
        <v>39488</v>
      </c>
      <c r="B42">
        <v>2008</v>
      </c>
      <c r="C42">
        <v>2</v>
      </c>
      <c r="D42" t="s">
        <v>1603</v>
      </c>
      <c r="E42" t="s">
        <v>1595</v>
      </c>
      <c r="F42">
        <v>7</v>
      </c>
      <c r="G42" t="s">
        <v>1601</v>
      </c>
    </row>
    <row r="43" spans="1:7" x14ac:dyDescent="0.55000000000000004">
      <c r="A43" s="1">
        <v>39489</v>
      </c>
      <c r="B43">
        <v>2008</v>
      </c>
      <c r="C43">
        <v>2</v>
      </c>
      <c r="D43" t="s">
        <v>1603</v>
      </c>
      <c r="E43" t="s">
        <v>1595</v>
      </c>
      <c r="F43">
        <v>7</v>
      </c>
      <c r="G43" t="s">
        <v>1602</v>
      </c>
    </row>
    <row r="44" spans="1:7" x14ac:dyDescent="0.55000000000000004">
      <c r="A44" s="1">
        <v>39490</v>
      </c>
      <c r="B44">
        <v>2008</v>
      </c>
      <c r="C44">
        <v>2</v>
      </c>
      <c r="D44" t="s">
        <v>1603</v>
      </c>
      <c r="E44" t="s">
        <v>1595</v>
      </c>
      <c r="F44">
        <v>7</v>
      </c>
      <c r="G44" t="s">
        <v>1596</v>
      </c>
    </row>
    <row r="45" spans="1:7" x14ac:dyDescent="0.55000000000000004">
      <c r="A45" s="1">
        <v>39491</v>
      </c>
      <c r="B45">
        <v>2008</v>
      </c>
      <c r="C45">
        <v>2</v>
      </c>
      <c r="D45" t="s">
        <v>1603</v>
      </c>
      <c r="E45" t="s">
        <v>1595</v>
      </c>
      <c r="F45">
        <v>7</v>
      </c>
      <c r="G45" t="s">
        <v>1597</v>
      </c>
    </row>
    <row r="46" spans="1:7" x14ac:dyDescent="0.55000000000000004">
      <c r="A46" s="1">
        <v>39492</v>
      </c>
      <c r="B46">
        <v>2008</v>
      </c>
      <c r="C46">
        <v>2</v>
      </c>
      <c r="D46" t="s">
        <v>1603</v>
      </c>
      <c r="E46" t="s">
        <v>1595</v>
      </c>
      <c r="F46">
        <v>7</v>
      </c>
      <c r="G46" t="s">
        <v>1598</v>
      </c>
    </row>
    <row r="47" spans="1:7" x14ac:dyDescent="0.55000000000000004">
      <c r="A47" s="1">
        <v>39493</v>
      </c>
      <c r="B47">
        <v>2008</v>
      </c>
      <c r="C47">
        <v>2</v>
      </c>
      <c r="D47" t="s">
        <v>1603</v>
      </c>
      <c r="E47" t="s">
        <v>1595</v>
      </c>
      <c r="F47">
        <v>7</v>
      </c>
      <c r="G47" t="s">
        <v>1599</v>
      </c>
    </row>
    <row r="48" spans="1:7" x14ac:dyDescent="0.55000000000000004">
      <c r="A48" s="1">
        <v>39494</v>
      </c>
      <c r="B48">
        <v>2008</v>
      </c>
      <c r="C48">
        <v>2</v>
      </c>
      <c r="D48" t="s">
        <v>1603</v>
      </c>
      <c r="E48" t="s">
        <v>1595</v>
      </c>
      <c r="F48">
        <v>7</v>
      </c>
      <c r="G48" t="s">
        <v>1600</v>
      </c>
    </row>
    <row r="49" spans="1:7" x14ac:dyDescent="0.55000000000000004">
      <c r="A49" s="1">
        <v>39495</v>
      </c>
      <c r="B49">
        <v>2008</v>
      </c>
      <c r="C49">
        <v>2</v>
      </c>
      <c r="D49" t="s">
        <v>1603</v>
      </c>
      <c r="E49" t="s">
        <v>1595</v>
      </c>
      <c r="F49">
        <v>8</v>
      </c>
      <c r="G49" t="s">
        <v>1601</v>
      </c>
    </row>
    <row r="50" spans="1:7" x14ac:dyDescent="0.55000000000000004">
      <c r="A50" s="1">
        <v>39496</v>
      </c>
      <c r="B50">
        <v>2008</v>
      </c>
      <c r="C50">
        <v>2</v>
      </c>
      <c r="D50" t="s">
        <v>1603</v>
      </c>
      <c r="E50" t="s">
        <v>1595</v>
      </c>
      <c r="F50">
        <v>8</v>
      </c>
      <c r="G50" t="s">
        <v>1602</v>
      </c>
    </row>
    <row r="51" spans="1:7" x14ac:dyDescent="0.55000000000000004">
      <c r="A51" s="1">
        <v>39497</v>
      </c>
      <c r="B51">
        <v>2008</v>
      </c>
      <c r="C51">
        <v>2</v>
      </c>
      <c r="D51" t="s">
        <v>1603</v>
      </c>
      <c r="E51" t="s">
        <v>1595</v>
      </c>
      <c r="F51">
        <v>8</v>
      </c>
      <c r="G51" t="s">
        <v>1596</v>
      </c>
    </row>
    <row r="52" spans="1:7" x14ac:dyDescent="0.55000000000000004">
      <c r="A52" s="1">
        <v>39498</v>
      </c>
      <c r="B52">
        <v>2008</v>
      </c>
      <c r="C52">
        <v>2</v>
      </c>
      <c r="D52" t="s">
        <v>1603</v>
      </c>
      <c r="E52" t="s">
        <v>1595</v>
      </c>
      <c r="F52">
        <v>8</v>
      </c>
      <c r="G52" t="s">
        <v>1597</v>
      </c>
    </row>
    <row r="53" spans="1:7" x14ac:dyDescent="0.55000000000000004">
      <c r="A53" s="1">
        <v>39499</v>
      </c>
      <c r="B53">
        <v>2008</v>
      </c>
      <c r="C53">
        <v>2</v>
      </c>
      <c r="D53" t="s">
        <v>1603</v>
      </c>
      <c r="E53" t="s">
        <v>1595</v>
      </c>
      <c r="F53">
        <v>8</v>
      </c>
      <c r="G53" t="s">
        <v>1598</v>
      </c>
    </row>
    <row r="54" spans="1:7" x14ac:dyDescent="0.55000000000000004">
      <c r="A54" s="1">
        <v>39500</v>
      </c>
      <c r="B54">
        <v>2008</v>
      </c>
      <c r="C54">
        <v>2</v>
      </c>
      <c r="D54" t="s">
        <v>1603</v>
      </c>
      <c r="E54" t="s">
        <v>1595</v>
      </c>
      <c r="F54">
        <v>8</v>
      </c>
      <c r="G54" t="s">
        <v>1599</v>
      </c>
    </row>
    <row r="55" spans="1:7" x14ac:dyDescent="0.55000000000000004">
      <c r="A55" s="1">
        <v>39501</v>
      </c>
      <c r="B55">
        <v>2008</v>
      </c>
      <c r="C55">
        <v>2</v>
      </c>
      <c r="D55" t="s">
        <v>1603</v>
      </c>
      <c r="E55" t="s">
        <v>1595</v>
      </c>
      <c r="F55">
        <v>8</v>
      </c>
      <c r="G55" t="s">
        <v>1600</v>
      </c>
    </row>
    <row r="56" spans="1:7" x14ac:dyDescent="0.55000000000000004">
      <c r="A56" s="1">
        <v>39502</v>
      </c>
      <c r="B56">
        <v>2008</v>
      </c>
      <c r="C56">
        <v>2</v>
      </c>
      <c r="D56" t="s">
        <v>1603</v>
      </c>
      <c r="E56" t="s">
        <v>1595</v>
      </c>
      <c r="F56">
        <v>9</v>
      </c>
      <c r="G56" t="s">
        <v>1601</v>
      </c>
    </row>
    <row r="57" spans="1:7" x14ac:dyDescent="0.55000000000000004">
      <c r="A57" s="1">
        <v>39503</v>
      </c>
      <c r="B57">
        <v>2008</v>
      </c>
      <c r="C57">
        <v>2</v>
      </c>
      <c r="D57" t="s">
        <v>1603</v>
      </c>
      <c r="E57" t="s">
        <v>1595</v>
      </c>
      <c r="F57">
        <v>9</v>
      </c>
      <c r="G57" t="s">
        <v>1602</v>
      </c>
    </row>
    <row r="58" spans="1:7" x14ac:dyDescent="0.55000000000000004">
      <c r="A58" s="1">
        <v>39504</v>
      </c>
      <c r="B58">
        <v>2008</v>
      </c>
      <c r="C58">
        <v>2</v>
      </c>
      <c r="D58" t="s">
        <v>1603</v>
      </c>
      <c r="E58" t="s">
        <v>1595</v>
      </c>
      <c r="F58">
        <v>9</v>
      </c>
      <c r="G58" t="s">
        <v>1596</v>
      </c>
    </row>
    <row r="59" spans="1:7" x14ac:dyDescent="0.55000000000000004">
      <c r="A59" s="1">
        <v>39505</v>
      </c>
      <c r="B59">
        <v>2008</v>
      </c>
      <c r="C59">
        <v>2</v>
      </c>
      <c r="D59" t="s">
        <v>1603</v>
      </c>
      <c r="E59" t="s">
        <v>1595</v>
      </c>
      <c r="F59">
        <v>9</v>
      </c>
      <c r="G59" t="s">
        <v>1597</v>
      </c>
    </row>
    <row r="60" spans="1:7" x14ac:dyDescent="0.55000000000000004">
      <c r="A60" s="1">
        <v>39506</v>
      </c>
      <c r="B60">
        <v>2008</v>
      </c>
      <c r="C60">
        <v>2</v>
      </c>
      <c r="D60" t="s">
        <v>1603</v>
      </c>
      <c r="E60" t="s">
        <v>1595</v>
      </c>
      <c r="F60">
        <v>9</v>
      </c>
      <c r="G60" t="s">
        <v>1598</v>
      </c>
    </row>
    <row r="61" spans="1:7" x14ac:dyDescent="0.55000000000000004">
      <c r="A61" s="1">
        <v>39507</v>
      </c>
      <c r="B61">
        <v>2008</v>
      </c>
      <c r="C61">
        <v>2</v>
      </c>
      <c r="D61" t="s">
        <v>1603</v>
      </c>
      <c r="E61" t="s">
        <v>1595</v>
      </c>
      <c r="F61">
        <v>9</v>
      </c>
      <c r="G61" t="s">
        <v>1599</v>
      </c>
    </row>
    <row r="62" spans="1:7" x14ac:dyDescent="0.55000000000000004">
      <c r="A62" s="1">
        <v>39508</v>
      </c>
      <c r="B62">
        <v>2008</v>
      </c>
      <c r="C62">
        <v>3</v>
      </c>
      <c r="D62" t="s">
        <v>1604</v>
      </c>
      <c r="E62" t="s">
        <v>1595</v>
      </c>
      <c r="F62">
        <v>9</v>
      </c>
      <c r="G62" t="s">
        <v>1600</v>
      </c>
    </row>
    <row r="63" spans="1:7" x14ac:dyDescent="0.55000000000000004">
      <c r="A63" s="1">
        <v>39509</v>
      </c>
      <c r="B63">
        <v>2008</v>
      </c>
      <c r="C63">
        <v>3</v>
      </c>
      <c r="D63" t="s">
        <v>1604</v>
      </c>
      <c r="E63" t="s">
        <v>1595</v>
      </c>
      <c r="F63">
        <v>10</v>
      </c>
      <c r="G63" t="s">
        <v>1601</v>
      </c>
    </row>
    <row r="64" spans="1:7" x14ac:dyDescent="0.55000000000000004">
      <c r="A64" s="1">
        <v>39510</v>
      </c>
      <c r="B64">
        <v>2008</v>
      </c>
      <c r="C64">
        <v>3</v>
      </c>
      <c r="D64" t="s">
        <v>1604</v>
      </c>
      <c r="E64" t="s">
        <v>1595</v>
      </c>
      <c r="F64">
        <v>10</v>
      </c>
      <c r="G64" t="s">
        <v>1602</v>
      </c>
    </row>
    <row r="65" spans="1:7" x14ac:dyDescent="0.55000000000000004">
      <c r="A65" s="1">
        <v>39511</v>
      </c>
      <c r="B65">
        <v>2008</v>
      </c>
      <c r="C65">
        <v>3</v>
      </c>
      <c r="D65" t="s">
        <v>1604</v>
      </c>
      <c r="E65" t="s">
        <v>1595</v>
      </c>
      <c r="F65">
        <v>10</v>
      </c>
      <c r="G65" t="s">
        <v>1596</v>
      </c>
    </row>
    <row r="66" spans="1:7" x14ac:dyDescent="0.55000000000000004">
      <c r="A66" s="1">
        <v>39512</v>
      </c>
      <c r="B66">
        <v>2008</v>
      </c>
      <c r="C66">
        <v>3</v>
      </c>
      <c r="D66" t="s">
        <v>1604</v>
      </c>
      <c r="E66" t="s">
        <v>1595</v>
      </c>
      <c r="F66">
        <v>10</v>
      </c>
      <c r="G66" t="s">
        <v>1597</v>
      </c>
    </row>
    <row r="67" spans="1:7" x14ac:dyDescent="0.55000000000000004">
      <c r="A67" s="1">
        <v>39513</v>
      </c>
      <c r="B67">
        <v>2008</v>
      </c>
      <c r="C67">
        <v>3</v>
      </c>
      <c r="D67" t="s">
        <v>1604</v>
      </c>
      <c r="E67" t="s">
        <v>1595</v>
      </c>
      <c r="F67">
        <v>10</v>
      </c>
      <c r="G67" t="s">
        <v>1598</v>
      </c>
    </row>
    <row r="68" spans="1:7" x14ac:dyDescent="0.55000000000000004">
      <c r="A68" s="1">
        <v>39514</v>
      </c>
      <c r="B68">
        <v>2008</v>
      </c>
      <c r="C68">
        <v>3</v>
      </c>
      <c r="D68" t="s">
        <v>1604</v>
      </c>
      <c r="E68" t="s">
        <v>1595</v>
      </c>
      <c r="F68">
        <v>10</v>
      </c>
      <c r="G68" t="s">
        <v>1599</v>
      </c>
    </row>
    <row r="69" spans="1:7" x14ac:dyDescent="0.55000000000000004">
      <c r="A69" s="1">
        <v>39515</v>
      </c>
      <c r="B69">
        <v>2008</v>
      </c>
      <c r="C69">
        <v>3</v>
      </c>
      <c r="D69" t="s">
        <v>1604</v>
      </c>
      <c r="E69" t="s">
        <v>1595</v>
      </c>
      <c r="F69">
        <v>10</v>
      </c>
      <c r="G69" t="s">
        <v>1600</v>
      </c>
    </row>
    <row r="70" spans="1:7" x14ac:dyDescent="0.55000000000000004">
      <c r="A70" s="1">
        <v>39516</v>
      </c>
      <c r="B70">
        <v>2008</v>
      </c>
      <c r="C70">
        <v>3</v>
      </c>
      <c r="D70" t="s">
        <v>1604</v>
      </c>
      <c r="E70" t="s">
        <v>1595</v>
      </c>
      <c r="F70">
        <v>11</v>
      </c>
      <c r="G70" t="s">
        <v>1601</v>
      </c>
    </row>
    <row r="71" spans="1:7" x14ac:dyDescent="0.55000000000000004">
      <c r="A71" s="1">
        <v>39517</v>
      </c>
      <c r="B71">
        <v>2008</v>
      </c>
      <c r="C71">
        <v>3</v>
      </c>
      <c r="D71" t="s">
        <v>1604</v>
      </c>
      <c r="E71" t="s">
        <v>1595</v>
      </c>
      <c r="F71">
        <v>11</v>
      </c>
      <c r="G71" t="s">
        <v>1602</v>
      </c>
    </row>
    <row r="72" spans="1:7" x14ac:dyDescent="0.55000000000000004">
      <c r="A72" s="1">
        <v>39518</v>
      </c>
      <c r="B72">
        <v>2008</v>
      </c>
      <c r="C72">
        <v>3</v>
      </c>
      <c r="D72" t="s">
        <v>1604</v>
      </c>
      <c r="E72" t="s">
        <v>1595</v>
      </c>
      <c r="F72">
        <v>11</v>
      </c>
      <c r="G72" t="s">
        <v>1596</v>
      </c>
    </row>
    <row r="73" spans="1:7" x14ac:dyDescent="0.55000000000000004">
      <c r="A73" s="1">
        <v>39519</v>
      </c>
      <c r="B73">
        <v>2008</v>
      </c>
      <c r="C73">
        <v>3</v>
      </c>
      <c r="D73" t="s">
        <v>1604</v>
      </c>
      <c r="E73" t="s">
        <v>1595</v>
      </c>
      <c r="F73">
        <v>11</v>
      </c>
      <c r="G73" t="s">
        <v>1597</v>
      </c>
    </row>
    <row r="74" spans="1:7" x14ac:dyDescent="0.55000000000000004">
      <c r="A74" s="1">
        <v>39520</v>
      </c>
      <c r="B74">
        <v>2008</v>
      </c>
      <c r="C74">
        <v>3</v>
      </c>
      <c r="D74" t="s">
        <v>1604</v>
      </c>
      <c r="E74" t="s">
        <v>1595</v>
      </c>
      <c r="F74">
        <v>11</v>
      </c>
      <c r="G74" t="s">
        <v>1598</v>
      </c>
    </row>
    <row r="75" spans="1:7" x14ac:dyDescent="0.55000000000000004">
      <c r="A75" s="1">
        <v>39521</v>
      </c>
      <c r="B75">
        <v>2008</v>
      </c>
      <c r="C75">
        <v>3</v>
      </c>
      <c r="D75" t="s">
        <v>1604</v>
      </c>
      <c r="E75" t="s">
        <v>1595</v>
      </c>
      <c r="F75">
        <v>11</v>
      </c>
      <c r="G75" t="s">
        <v>1599</v>
      </c>
    </row>
    <row r="76" spans="1:7" x14ac:dyDescent="0.55000000000000004">
      <c r="A76" s="1">
        <v>39522</v>
      </c>
      <c r="B76">
        <v>2008</v>
      </c>
      <c r="C76">
        <v>3</v>
      </c>
      <c r="D76" t="s">
        <v>1604</v>
      </c>
      <c r="E76" t="s">
        <v>1595</v>
      </c>
      <c r="F76">
        <v>11</v>
      </c>
      <c r="G76" t="s">
        <v>1600</v>
      </c>
    </row>
    <row r="77" spans="1:7" x14ac:dyDescent="0.55000000000000004">
      <c r="A77" s="1">
        <v>39523</v>
      </c>
      <c r="B77">
        <v>2008</v>
      </c>
      <c r="C77">
        <v>3</v>
      </c>
      <c r="D77" t="s">
        <v>1604</v>
      </c>
      <c r="E77" t="s">
        <v>1595</v>
      </c>
      <c r="F77">
        <v>12</v>
      </c>
      <c r="G77" t="s">
        <v>1601</v>
      </c>
    </row>
    <row r="78" spans="1:7" x14ac:dyDescent="0.55000000000000004">
      <c r="A78" s="1">
        <v>39524</v>
      </c>
      <c r="B78">
        <v>2008</v>
      </c>
      <c r="C78">
        <v>3</v>
      </c>
      <c r="D78" t="s">
        <v>1604</v>
      </c>
      <c r="E78" t="s">
        <v>1595</v>
      </c>
      <c r="F78">
        <v>12</v>
      </c>
      <c r="G78" t="s">
        <v>1602</v>
      </c>
    </row>
    <row r="79" spans="1:7" x14ac:dyDescent="0.55000000000000004">
      <c r="A79" s="1">
        <v>39525</v>
      </c>
      <c r="B79">
        <v>2008</v>
      </c>
      <c r="C79">
        <v>3</v>
      </c>
      <c r="D79" t="s">
        <v>1604</v>
      </c>
      <c r="E79" t="s">
        <v>1595</v>
      </c>
      <c r="F79">
        <v>12</v>
      </c>
      <c r="G79" t="s">
        <v>1596</v>
      </c>
    </row>
    <row r="80" spans="1:7" x14ac:dyDescent="0.55000000000000004">
      <c r="A80" s="1">
        <v>39526</v>
      </c>
      <c r="B80">
        <v>2008</v>
      </c>
      <c r="C80">
        <v>3</v>
      </c>
      <c r="D80" t="s">
        <v>1604</v>
      </c>
      <c r="E80" t="s">
        <v>1595</v>
      </c>
      <c r="F80">
        <v>12</v>
      </c>
      <c r="G80" t="s">
        <v>1597</v>
      </c>
    </row>
    <row r="81" spans="1:7" x14ac:dyDescent="0.55000000000000004">
      <c r="A81" s="1">
        <v>39527</v>
      </c>
      <c r="B81">
        <v>2008</v>
      </c>
      <c r="C81">
        <v>3</v>
      </c>
      <c r="D81" t="s">
        <v>1604</v>
      </c>
      <c r="E81" t="s">
        <v>1595</v>
      </c>
      <c r="F81">
        <v>12</v>
      </c>
      <c r="G81" t="s">
        <v>1598</v>
      </c>
    </row>
    <row r="82" spans="1:7" x14ac:dyDescent="0.55000000000000004">
      <c r="A82" s="1">
        <v>39528</v>
      </c>
      <c r="B82">
        <v>2008</v>
      </c>
      <c r="C82">
        <v>3</v>
      </c>
      <c r="D82" t="s">
        <v>1604</v>
      </c>
      <c r="E82" t="s">
        <v>1595</v>
      </c>
      <c r="F82">
        <v>12</v>
      </c>
      <c r="G82" t="s">
        <v>1599</v>
      </c>
    </row>
    <row r="83" spans="1:7" x14ac:dyDescent="0.55000000000000004">
      <c r="A83" s="1">
        <v>39529</v>
      </c>
      <c r="B83">
        <v>2008</v>
      </c>
      <c r="C83">
        <v>3</v>
      </c>
      <c r="D83" t="s">
        <v>1604</v>
      </c>
      <c r="E83" t="s">
        <v>1595</v>
      </c>
      <c r="F83">
        <v>12</v>
      </c>
      <c r="G83" t="s">
        <v>1600</v>
      </c>
    </row>
    <row r="84" spans="1:7" x14ac:dyDescent="0.55000000000000004">
      <c r="A84" s="1">
        <v>39530</v>
      </c>
      <c r="B84">
        <v>2008</v>
      </c>
      <c r="C84">
        <v>3</v>
      </c>
      <c r="D84" t="s">
        <v>1604</v>
      </c>
      <c r="E84" t="s">
        <v>1595</v>
      </c>
      <c r="F84">
        <v>13</v>
      </c>
      <c r="G84" t="s">
        <v>1601</v>
      </c>
    </row>
    <row r="85" spans="1:7" x14ac:dyDescent="0.55000000000000004">
      <c r="A85" s="1">
        <v>39531</v>
      </c>
      <c r="B85">
        <v>2008</v>
      </c>
      <c r="C85">
        <v>3</v>
      </c>
      <c r="D85" t="s">
        <v>1604</v>
      </c>
      <c r="E85" t="s">
        <v>1595</v>
      </c>
      <c r="F85">
        <v>13</v>
      </c>
      <c r="G85" t="s">
        <v>1602</v>
      </c>
    </row>
    <row r="86" spans="1:7" x14ac:dyDescent="0.55000000000000004">
      <c r="A86" s="1">
        <v>39532</v>
      </c>
      <c r="B86">
        <v>2008</v>
      </c>
      <c r="C86">
        <v>3</v>
      </c>
      <c r="D86" t="s">
        <v>1604</v>
      </c>
      <c r="E86" t="s">
        <v>1595</v>
      </c>
      <c r="F86">
        <v>13</v>
      </c>
      <c r="G86" t="s">
        <v>1596</v>
      </c>
    </row>
    <row r="87" spans="1:7" x14ac:dyDescent="0.55000000000000004">
      <c r="A87" s="1">
        <v>39533</v>
      </c>
      <c r="B87">
        <v>2008</v>
      </c>
      <c r="C87">
        <v>3</v>
      </c>
      <c r="D87" t="s">
        <v>1604</v>
      </c>
      <c r="E87" t="s">
        <v>1595</v>
      </c>
      <c r="F87">
        <v>13</v>
      </c>
      <c r="G87" t="s">
        <v>1597</v>
      </c>
    </row>
    <row r="88" spans="1:7" x14ac:dyDescent="0.55000000000000004">
      <c r="A88" s="1">
        <v>39534</v>
      </c>
      <c r="B88">
        <v>2008</v>
      </c>
      <c r="C88">
        <v>3</v>
      </c>
      <c r="D88" t="s">
        <v>1604</v>
      </c>
      <c r="E88" t="s">
        <v>1595</v>
      </c>
      <c r="F88">
        <v>13</v>
      </c>
      <c r="G88" t="s">
        <v>1598</v>
      </c>
    </row>
    <row r="89" spans="1:7" x14ac:dyDescent="0.55000000000000004">
      <c r="A89" s="1">
        <v>39535</v>
      </c>
      <c r="B89">
        <v>2008</v>
      </c>
      <c r="C89">
        <v>3</v>
      </c>
      <c r="D89" t="s">
        <v>1604</v>
      </c>
      <c r="E89" t="s">
        <v>1595</v>
      </c>
      <c r="F89">
        <v>13</v>
      </c>
      <c r="G89" t="s">
        <v>1599</v>
      </c>
    </row>
    <row r="90" spans="1:7" x14ac:dyDescent="0.55000000000000004">
      <c r="A90" s="1">
        <v>39536</v>
      </c>
      <c r="B90">
        <v>2008</v>
      </c>
      <c r="C90">
        <v>3</v>
      </c>
      <c r="D90" t="s">
        <v>1604</v>
      </c>
      <c r="E90" t="s">
        <v>1595</v>
      </c>
      <c r="F90">
        <v>13</v>
      </c>
      <c r="G90" t="s">
        <v>1600</v>
      </c>
    </row>
    <row r="91" spans="1:7" x14ac:dyDescent="0.55000000000000004">
      <c r="A91" s="1">
        <v>39537</v>
      </c>
      <c r="B91">
        <v>2008</v>
      </c>
      <c r="C91">
        <v>3</v>
      </c>
      <c r="D91" t="s">
        <v>1604</v>
      </c>
      <c r="E91" t="s">
        <v>1595</v>
      </c>
      <c r="F91">
        <v>14</v>
      </c>
      <c r="G91" t="s">
        <v>1601</v>
      </c>
    </row>
    <row r="92" spans="1:7" x14ac:dyDescent="0.55000000000000004">
      <c r="A92" s="1">
        <v>39538</v>
      </c>
      <c r="B92">
        <v>2008</v>
      </c>
      <c r="C92">
        <v>3</v>
      </c>
      <c r="D92" t="s">
        <v>1604</v>
      </c>
      <c r="E92" t="s">
        <v>1595</v>
      </c>
      <c r="F92">
        <v>14</v>
      </c>
      <c r="G92" t="s">
        <v>1602</v>
      </c>
    </row>
    <row r="93" spans="1:7" x14ac:dyDescent="0.55000000000000004">
      <c r="A93" s="1">
        <v>39539</v>
      </c>
      <c r="B93">
        <v>2008</v>
      </c>
      <c r="C93">
        <v>4</v>
      </c>
      <c r="D93" t="s">
        <v>1605</v>
      </c>
      <c r="E93" t="s">
        <v>1606</v>
      </c>
      <c r="F93">
        <v>14</v>
      </c>
      <c r="G93" t="s">
        <v>1596</v>
      </c>
    </row>
    <row r="94" spans="1:7" x14ac:dyDescent="0.55000000000000004">
      <c r="A94" s="1">
        <v>39540</v>
      </c>
      <c r="B94">
        <v>2008</v>
      </c>
      <c r="C94">
        <v>4</v>
      </c>
      <c r="D94" t="s">
        <v>1605</v>
      </c>
      <c r="E94" t="s">
        <v>1606</v>
      </c>
      <c r="F94">
        <v>14</v>
      </c>
      <c r="G94" t="s">
        <v>1597</v>
      </c>
    </row>
    <row r="95" spans="1:7" x14ac:dyDescent="0.55000000000000004">
      <c r="A95" s="1">
        <v>39541</v>
      </c>
      <c r="B95">
        <v>2008</v>
      </c>
      <c r="C95">
        <v>4</v>
      </c>
      <c r="D95" t="s">
        <v>1605</v>
      </c>
      <c r="E95" t="s">
        <v>1606</v>
      </c>
      <c r="F95">
        <v>14</v>
      </c>
      <c r="G95" t="s">
        <v>1598</v>
      </c>
    </row>
    <row r="96" spans="1:7" x14ac:dyDescent="0.55000000000000004">
      <c r="A96" s="1">
        <v>39542</v>
      </c>
      <c r="B96">
        <v>2008</v>
      </c>
      <c r="C96">
        <v>4</v>
      </c>
      <c r="D96" t="s">
        <v>1605</v>
      </c>
      <c r="E96" t="s">
        <v>1606</v>
      </c>
      <c r="F96">
        <v>14</v>
      </c>
      <c r="G96" t="s">
        <v>1599</v>
      </c>
    </row>
    <row r="97" spans="1:7" x14ac:dyDescent="0.55000000000000004">
      <c r="A97" s="1">
        <v>39543</v>
      </c>
      <c r="B97">
        <v>2008</v>
      </c>
      <c r="C97">
        <v>4</v>
      </c>
      <c r="D97" t="s">
        <v>1605</v>
      </c>
      <c r="E97" t="s">
        <v>1606</v>
      </c>
      <c r="F97">
        <v>14</v>
      </c>
      <c r="G97" t="s">
        <v>1600</v>
      </c>
    </row>
    <row r="98" spans="1:7" x14ac:dyDescent="0.55000000000000004">
      <c r="A98" s="1">
        <v>39544</v>
      </c>
      <c r="B98">
        <v>2008</v>
      </c>
      <c r="C98">
        <v>4</v>
      </c>
      <c r="D98" t="s">
        <v>1605</v>
      </c>
      <c r="E98" t="s">
        <v>1606</v>
      </c>
      <c r="F98">
        <v>15</v>
      </c>
      <c r="G98" t="s">
        <v>1601</v>
      </c>
    </row>
    <row r="99" spans="1:7" x14ac:dyDescent="0.55000000000000004">
      <c r="A99" s="1">
        <v>39545</v>
      </c>
      <c r="B99">
        <v>2008</v>
      </c>
      <c r="C99">
        <v>4</v>
      </c>
      <c r="D99" t="s">
        <v>1605</v>
      </c>
      <c r="E99" t="s">
        <v>1606</v>
      </c>
      <c r="F99">
        <v>15</v>
      </c>
      <c r="G99" t="s">
        <v>1602</v>
      </c>
    </row>
    <row r="100" spans="1:7" x14ac:dyDescent="0.55000000000000004">
      <c r="A100" s="1">
        <v>39546</v>
      </c>
      <c r="B100">
        <v>2008</v>
      </c>
      <c r="C100">
        <v>4</v>
      </c>
      <c r="D100" t="s">
        <v>1605</v>
      </c>
      <c r="E100" t="s">
        <v>1606</v>
      </c>
      <c r="F100">
        <v>15</v>
      </c>
      <c r="G100" t="s">
        <v>1596</v>
      </c>
    </row>
    <row r="101" spans="1:7" x14ac:dyDescent="0.55000000000000004">
      <c r="A101" s="1">
        <v>39547</v>
      </c>
      <c r="B101">
        <v>2008</v>
      </c>
      <c r="C101">
        <v>4</v>
      </c>
      <c r="D101" t="s">
        <v>1605</v>
      </c>
      <c r="E101" t="s">
        <v>1606</v>
      </c>
      <c r="F101">
        <v>15</v>
      </c>
      <c r="G101" t="s">
        <v>1597</v>
      </c>
    </row>
    <row r="102" spans="1:7" x14ac:dyDescent="0.55000000000000004">
      <c r="A102" s="1">
        <v>39548</v>
      </c>
      <c r="B102">
        <v>2008</v>
      </c>
      <c r="C102">
        <v>4</v>
      </c>
      <c r="D102" t="s">
        <v>1605</v>
      </c>
      <c r="E102" t="s">
        <v>1606</v>
      </c>
      <c r="F102">
        <v>15</v>
      </c>
      <c r="G102" t="s">
        <v>1598</v>
      </c>
    </row>
    <row r="103" spans="1:7" x14ac:dyDescent="0.55000000000000004">
      <c r="A103" s="1">
        <v>39549</v>
      </c>
      <c r="B103">
        <v>2008</v>
      </c>
      <c r="C103">
        <v>4</v>
      </c>
      <c r="D103" t="s">
        <v>1605</v>
      </c>
      <c r="E103" t="s">
        <v>1606</v>
      </c>
      <c r="F103">
        <v>15</v>
      </c>
      <c r="G103" t="s">
        <v>1599</v>
      </c>
    </row>
    <row r="104" spans="1:7" x14ac:dyDescent="0.55000000000000004">
      <c r="A104" s="1">
        <v>39550</v>
      </c>
      <c r="B104">
        <v>2008</v>
      </c>
      <c r="C104">
        <v>4</v>
      </c>
      <c r="D104" t="s">
        <v>1605</v>
      </c>
      <c r="E104" t="s">
        <v>1606</v>
      </c>
      <c r="F104">
        <v>15</v>
      </c>
      <c r="G104" t="s">
        <v>1600</v>
      </c>
    </row>
    <row r="105" spans="1:7" x14ac:dyDescent="0.55000000000000004">
      <c r="A105" s="1">
        <v>39551</v>
      </c>
      <c r="B105">
        <v>2008</v>
      </c>
      <c r="C105">
        <v>4</v>
      </c>
      <c r="D105" t="s">
        <v>1605</v>
      </c>
      <c r="E105" t="s">
        <v>1606</v>
      </c>
      <c r="F105">
        <v>16</v>
      </c>
      <c r="G105" t="s">
        <v>1601</v>
      </c>
    </row>
    <row r="106" spans="1:7" x14ac:dyDescent="0.55000000000000004">
      <c r="A106" s="1">
        <v>39552</v>
      </c>
      <c r="B106">
        <v>2008</v>
      </c>
      <c r="C106">
        <v>4</v>
      </c>
      <c r="D106" t="s">
        <v>1605</v>
      </c>
      <c r="E106" t="s">
        <v>1606</v>
      </c>
      <c r="F106">
        <v>16</v>
      </c>
      <c r="G106" t="s">
        <v>1602</v>
      </c>
    </row>
    <row r="107" spans="1:7" x14ac:dyDescent="0.55000000000000004">
      <c r="A107" s="1">
        <v>39553</v>
      </c>
      <c r="B107">
        <v>2008</v>
      </c>
      <c r="C107">
        <v>4</v>
      </c>
      <c r="D107" t="s">
        <v>1605</v>
      </c>
      <c r="E107" t="s">
        <v>1606</v>
      </c>
      <c r="F107">
        <v>16</v>
      </c>
      <c r="G107" t="s">
        <v>1596</v>
      </c>
    </row>
    <row r="108" spans="1:7" x14ac:dyDescent="0.55000000000000004">
      <c r="A108" s="1">
        <v>39554</v>
      </c>
      <c r="B108">
        <v>2008</v>
      </c>
      <c r="C108">
        <v>4</v>
      </c>
      <c r="D108" t="s">
        <v>1605</v>
      </c>
      <c r="E108" t="s">
        <v>1606</v>
      </c>
      <c r="F108">
        <v>16</v>
      </c>
      <c r="G108" t="s">
        <v>1597</v>
      </c>
    </row>
    <row r="109" spans="1:7" x14ac:dyDescent="0.55000000000000004">
      <c r="A109" s="1">
        <v>39555</v>
      </c>
      <c r="B109">
        <v>2008</v>
      </c>
      <c r="C109">
        <v>4</v>
      </c>
      <c r="D109" t="s">
        <v>1605</v>
      </c>
      <c r="E109" t="s">
        <v>1606</v>
      </c>
      <c r="F109">
        <v>16</v>
      </c>
      <c r="G109" t="s">
        <v>1598</v>
      </c>
    </row>
    <row r="110" spans="1:7" x14ac:dyDescent="0.55000000000000004">
      <c r="A110" s="1">
        <v>39556</v>
      </c>
      <c r="B110">
        <v>2008</v>
      </c>
      <c r="C110">
        <v>4</v>
      </c>
      <c r="D110" t="s">
        <v>1605</v>
      </c>
      <c r="E110" t="s">
        <v>1606</v>
      </c>
      <c r="F110">
        <v>16</v>
      </c>
      <c r="G110" t="s">
        <v>1599</v>
      </c>
    </row>
    <row r="111" spans="1:7" x14ac:dyDescent="0.55000000000000004">
      <c r="A111" s="1">
        <v>39557</v>
      </c>
      <c r="B111">
        <v>2008</v>
      </c>
      <c r="C111">
        <v>4</v>
      </c>
      <c r="D111" t="s">
        <v>1605</v>
      </c>
      <c r="E111" t="s">
        <v>1606</v>
      </c>
      <c r="F111">
        <v>16</v>
      </c>
      <c r="G111" t="s">
        <v>1600</v>
      </c>
    </row>
    <row r="112" spans="1:7" x14ac:dyDescent="0.55000000000000004">
      <c r="A112" s="1">
        <v>39558</v>
      </c>
      <c r="B112">
        <v>2008</v>
      </c>
      <c r="C112">
        <v>4</v>
      </c>
      <c r="D112" t="s">
        <v>1605</v>
      </c>
      <c r="E112" t="s">
        <v>1606</v>
      </c>
      <c r="F112">
        <v>17</v>
      </c>
      <c r="G112" t="s">
        <v>1601</v>
      </c>
    </row>
    <row r="113" spans="1:7" x14ac:dyDescent="0.55000000000000004">
      <c r="A113" s="1">
        <v>39559</v>
      </c>
      <c r="B113">
        <v>2008</v>
      </c>
      <c r="C113">
        <v>4</v>
      </c>
      <c r="D113" t="s">
        <v>1605</v>
      </c>
      <c r="E113" t="s">
        <v>1606</v>
      </c>
      <c r="F113">
        <v>17</v>
      </c>
      <c r="G113" t="s">
        <v>1602</v>
      </c>
    </row>
    <row r="114" spans="1:7" x14ac:dyDescent="0.55000000000000004">
      <c r="A114" s="1">
        <v>39560</v>
      </c>
      <c r="B114">
        <v>2008</v>
      </c>
      <c r="C114">
        <v>4</v>
      </c>
      <c r="D114" t="s">
        <v>1605</v>
      </c>
      <c r="E114" t="s">
        <v>1606</v>
      </c>
      <c r="F114">
        <v>17</v>
      </c>
      <c r="G114" t="s">
        <v>1596</v>
      </c>
    </row>
    <row r="115" spans="1:7" x14ac:dyDescent="0.55000000000000004">
      <c r="A115" s="1">
        <v>39561</v>
      </c>
      <c r="B115">
        <v>2008</v>
      </c>
      <c r="C115">
        <v>4</v>
      </c>
      <c r="D115" t="s">
        <v>1605</v>
      </c>
      <c r="E115" t="s">
        <v>1606</v>
      </c>
      <c r="F115">
        <v>17</v>
      </c>
      <c r="G115" t="s">
        <v>1597</v>
      </c>
    </row>
    <row r="116" spans="1:7" x14ac:dyDescent="0.55000000000000004">
      <c r="A116" s="1">
        <v>39562</v>
      </c>
      <c r="B116">
        <v>2008</v>
      </c>
      <c r="C116">
        <v>4</v>
      </c>
      <c r="D116" t="s">
        <v>1605</v>
      </c>
      <c r="E116" t="s">
        <v>1606</v>
      </c>
      <c r="F116">
        <v>17</v>
      </c>
      <c r="G116" t="s">
        <v>1598</v>
      </c>
    </row>
    <row r="117" spans="1:7" x14ac:dyDescent="0.55000000000000004">
      <c r="A117" s="1">
        <v>39563</v>
      </c>
      <c r="B117">
        <v>2008</v>
      </c>
      <c r="C117">
        <v>4</v>
      </c>
      <c r="D117" t="s">
        <v>1605</v>
      </c>
      <c r="E117" t="s">
        <v>1606</v>
      </c>
      <c r="F117">
        <v>17</v>
      </c>
      <c r="G117" t="s">
        <v>1599</v>
      </c>
    </row>
    <row r="118" spans="1:7" x14ac:dyDescent="0.55000000000000004">
      <c r="A118" s="1">
        <v>39564</v>
      </c>
      <c r="B118">
        <v>2008</v>
      </c>
      <c r="C118">
        <v>4</v>
      </c>
      <c r="D118" t="s">
        <v>1605</v>
      </c>
      <c r="E118" t="s">
        <v>1606</v>
      </c>
      <c r="F118">
        <v>17</v>
      </c>
      <c r="G118" t="s">
        <v>1600</v>
      </c>
    </row>
    <row r="119" spans="1:7" x14ac:dyDescent="0.55000000000000004">
      <c r="A119" s="1">
        <v>39565</v>
      </c>
      <c r="B119">
        <v>2008</v>
      </c>
      <c r="C119">
        <v>4</v>
      </c>
      <c r="D119" t="s">
        <v>1605</v>
      </c>
      <c r="E119" t="s">
        <v>1606</v>
      </c>
      <c r="F119">
        <v>18</v>
      </c>
      <c r="G119" t="s">
        <v>1601</v>
      </c>
    </row>
    <row r="120" spans="1:7" x14ac:dyDescent="0.55000000000000004">
      <c r="A120" s="1">
        <v>39566</v>
      </c>
      <c r="B120">
        <v>2008</v>
      </c>
      <c r="C120">
        <v>4</v>
      </c>
      <c r="D120" t="s">
        <v>1605</v>
      </c>
      <c r="E120" t="s">
        <v>1606</v>
      </c>
      <c r="F120">
        <v>18</v>
      </c>
      <c r="G120" t="s">
        <v>1602</v>
      </c>
    </row>
    <row r="121" spans="1:7" x14ac:dyDescent="0.55000000000000004">
      <c r="A121" s="1">
        <v>39567</v>
      </c>
      <c r="B121">
        <v>2008</v>
      </c>
      <c r="C121">
        <v>4</v>
      </c>
      <c r="D121" t="s">
        <v>1605</v>
      </c>
      <c r="E121" t="s">
        <v>1606</v>
      </c>
      <c r="F121">
        <v>18</v>
      </c>
      <c r="G121" t="s">
        <v>1596</v>
      </c>
    </row>
    <row r="122" spans="1:7" x14ac:dyDescent="0.55000000000000004">
      <c r="A122" s="1">
        <v>39568</v>
      </c>
      <c r="B122">
        <v>2008</v>
      </c>
      <c r="C122">
        <v>4</v>
      </c>
      <c r="D122" t="s">
        <v>1605</v>
      </c>
      <c r="E122" t="s">
        <v>1606</v>
      </c>
      <c r="F122">
        <v>18</v>
      </c>
      <c r="G122" t="s">
        <v>1597</v>
      </c>
    </row>
    <row r="123" spans="1:7" x14ac:dyDescent="0.55000000000000004">
      <c r="A123" s="1">
        <v>39569</v>
      </c>
      <c r="B123">
        <v>2008</v>
      </c>
      <c r="C123">
        <v>5</v>
      </c>
      <c r="D123" t="s">
        <v>1607</v>
      </c>
      <c r="E123" t="s">
        <v>1606</v>
      </c>
      <c r="F123">
        <v>18</v>
      </c>
      <c r="G123" t="s">
        <v>1598</v>
      </c>
    </row>
    <row r="124" spans="1:7" x14ac:dyDescent="0.55000000000000004">
      <c r="A124" s="1">
        <v>39570</v>
      </c>
      <c r="B124">
        <v>2008</v>
      </c>
      <c r="C124">
        <v>5</v>
      </c>
      <c r="D124" t="s">
        <v>1607</v>
      </c>
      <c r="E124" t="s">
        <v>1606</v>
      </c>
      <c r="F124">
        <v>18</v>
      </c>
      <c r="G124" t="s">
        <v>1599</v>
      </c>
    </row>
    <row r="125" spans="1:7" x14ac:dyDescent="0.55000000000000004">
      <c r="A125" s="1">
        <v>39571</v>
      </c>
      <c r="B125">
        <v>2008</v>
      </c>
      <c r="C125">
        <v>5</v>
      </c>
      <c r="D125" t="s">
        <v>1607</v>
      </c>
      <c r="E125" t="s">
        <v>1606</v>
      </c>
      <c r="F125">
        <v>18</v>
      </c>
      <c r="G125" t="s">
        <v>1600</v>
      </c>
    </row>
    <row r="126" spans="1:7" x14ac:dyDescent="0.55000000000000004">
      <c r="A126" s="1">
        <v>39572</v>
      </c>
      <c r="B126">
        <v>2008</v>
      </c>
      <c r="C126">
        <v>5</v>
      </c>
      <c r="D126" t="s">
        <v>1607</v>
      </c>
      <c r="E126" t="s">
        <v>1606</v>
      </c>
      <c r="F126">
        <v>19</v>
      </c>
      <c r="G126" t="s">
        <v>1601</v>
      </c>
    </row>
    <row r="127" spans="1:7" x14ac:dyDescent="0.55000000000000004">
      <c r="A127" s="1">
        <v>39573</v>
      </c>
      <c r="B127">
        <v>2008</v>
      </c>
      <c r="C127">
        <v>5</v>
      </c>
      <c r="D127" t="s">
        <v>1607</v>
      </c>
      <c r="E127" t="s">
        <v>1606</v>
      </c>
      <c r="F127">
        <v>19</v>
      </c>
      <c r="G127" t="s">
        <v>1602</v>
      </c>
    </row>
    <row r="128" spans="1:7" x14ac:dyDescent="0.55000000000000004">
      <c r="A128" s="1">
        <v>39574</v>
      </c>
      <c r="B128">
        <v>2008</v>
      </c>
      <c r="C128">
        <v>5</v>
      </c>
      <c r="D128" t="s">
        <v>1607</v>
      </c>
      <c r="E128" t="s">
        <v>1606</v>
      </c>
      <c r="F128">
        <v>19</v>
      </c>
      <c r="G128" t="s">
        <v>1596</v>
      </c>
    </row>
    <row r="129" spans="1:7" x14ac:dyDescent="0.55000000000000004">
      <c r="A129" s="1">
        <v>39575</v>
      </c>
      <c r="B129">
        <v>2008</v>
      </c>
      <c r="C129">
        <v>5</v>
      </c>
      <c r="D129" t="s">
        <v>1607</v>
      </c>
      <c r="E129" t="s">
        <v>1606</v>
      </c>
      <c r="F129">
        <v>19</v>
      </c>
      <c r="G129" t="s">
        <v>1597</v>
      </c>
    </row>
    <row r="130" spans="1:7" x14ac:dyDescent="0.55000000000000004">
      <c r="A130" s="1">
        <v>39576</v>
      </c>
      <c r="B130">
        <v>2008</v>
      </c>
      <c r="C130">
        <v>5</v>
      </c>
      <c r="D130" t="s">
        <v>1607</v>
      </c>
      <c r="E130" t="s">
        <v>1606</v>
      </c>
      <c r="F130">
        <v>19</v>
      </c>
      <c r="G130" t="s">
        <v>1598</v>
      </c>
    </row>
    <row r="131" spans="1:7" x14ac:dyDescent="0.55000000000000004">
      <c r="A131" s="1">
        <v>39577</v>
      </c>
      <c r="B131">
        <v>2008</v>
      </c>
      <c r="C131">
        <v>5</v>
      </c>
      <c r="D131" t="s">
        <v>1607</v>
      </c>
      <c r="E131" t="s">
        <v>1606</v>
      </c>
      <c r="F131">
        <v>19</v>
      </c>
      <c r="G131" t="s">
        <v>1599</v>
      </c>
    </row>
    <row r="132" spans="1:7" x14ac:dyDescent="0.55000000000000004">
      <c r="A132" s="1">
        <v>39578</v>
      </c>
      <c r="B132">
        <v>2008</v>
      </c>
      <c r="C132">
        <v>5</v>
      </c>
      <c r="D132" t="s">
        <v>1607</v>
      </c>
      <c r="E132" t="s">
        <v>1606</v>
      </c>
      <c r="F132">
        <v>19</v>
      </c>
      <c r="G132" t="s">
        <v>1600</v>
      </c>
    </row>
    <row r="133" spans="1:7" x14ac:dyDescent="0.55000000000000004">
      <c r="A133" s="1">
        <v>39579</v>
      </c>
      <c r="B133">
        <v>2008</v>
      </c>
      <c r="C133">
        <v>5</v>
      </c>
      <c r="D133" t="s">
        <v>1607</v>
      </c>
      <c r="E133" t="s">
        <v>1606</v>
      </c>
      <c r="F133">
        <v>20</v>
      </c>
      <c r="G133" t="s">
        <v>1601</v>
      </c>
    </row>
    <row r="134" spans="1:7" x14ac:dyDescent="0.55000000000000004">
      <c r="A134" s="1">
        <v>39580</v>
      </c>
      <c r="B134">
        <v>2008</v>
      </c>
      <c r="C134">
        <v>5</v>
      </c>
      <c r="D134" t="s">
        <v>1607</v>
      </c>
      <c r="E134" t="s">
        <v>1606</v>
      </c>
      <c r="F134">
        <v>20</v>
      </c>
      <c r="G134" t="s">
        <v>1602</v>
      </c>
    </row>
    <row r="135" spans="1:7" x14ac:dyDescent="0.55000000000000004">
      <c r="A135" s="1">
        <v>39581</v>
      </c>
      <c r="B135">
        <v>2008</v>
      </c>
      <c r="C135">
        <v>5</v>
      </c>
      <c r="D135" t="s">
        <v>1607</v>
      </c>
      <c r="E135" t="s">
        <v>1606</v>
      </c>
      <c r="F135">
        <v>20</v>
      </c>
      <c r="G135" t="s">
        <v>1596</v>
      </c>
    </row>
    <row r="136" spans="1:7" x14ac:dyDescent="0.55000000000000004">
      <c r="A136" s="1">
        <v>39582</v>
      </c>
      <c r="B136">
        <v>2008</v>
      </c>
      <c r="C136">
        <v>5</v>
      </c>
      <c r="D136" t="s">
        <v>1607</v>
      </c>
      <c r="E136" t="s">
        <v>1606</v>
      </c>
      <c r="F136">
        <v>20</v>
      </c>
      <c r="G136" t="s">
        <v>1597</v>
      </c>
    </row>
    <row r="137" spans="1:7" x14ac:dyDescent="0.55000000000000004">
      <c r="A137" s="1">
        <v>39583</v>
      </c>
      <c r="B137">
        <v>2008</v>
      </c>
      <c r="C137">
        <v>5</v>
      </c>
      <c r="D137" t="s">
        <v>1607</v>
      </c>
      <c r="E137" t="s">
        <v>1606</v>
      </c>
      <c r="F137">
        <v>20</v>
      </c>
      <c r="G137" t="s">
        <v>1598</v>
      </c>
    </row>
    <row r="138" spans="1:7" x14ac:dyDescent="0.55000000000000004">
      <c r="A138" s="1">
        <v>39584</v>
      </c>
      <c r="B138">
        <v>2008</v>
      </c>
      <c r="C138">
        <v>5</v>
      </c>
      <c r="D138" t="s">
        <v>1607</v>
      </c>
      <c r="E138" t="s">
        <v>1606</v>
      </c>
      <c r="F138">
        <v>20</v>
      </c>
      <c r="G138" t="s">
        <v>1599</v>
      </c>
    </row>
    <row r="139" spans="1:7" x14ac:dyDescent="0.55000000000000004">
      <c r="A139" s="1">
        <v>39585</v>
      </c>
      <c r="B139">
        <v>2008</v>
      </c>
      <c r="C139">
        <v>5</v>
      </c>
      <c r="D139" t="s">
        <v>1607</v>
      </c>
      <c r="E139" t="s">
        <v>1606</v>
      </c>
      <c r="F139">
        <v>20</v>
      </c>
      <c r="G139" t="s">
        <v>1600</v>
      </c>
    </row>
    <row r="140" spans="1:7" x14ac:dyDescent="0.55000000000000004">
      <c r="A140" s="1">
        <v>39586</v>
      </c>
      <c r="B140">
        <v>2008</v>
      </c>
      <c r="C140">
        <v>5</v>
      </c>
      <c r="D140" t="s">
        <v>1607</v>
      </c>
      <c r="E140" t="s">
        <v>1606</v>
      </c>
      <c r="F140">
        <v>21</v>
      </c>
      <c r="G140" t="s">
        <v>1601</v>
      </c>
    </row>
    <row r="141" spans="1:7" x14ac:dyDescent="0.55000000000000004">
      <c r="A141" s="1">
        <v>39587</v>
      </c>
      <c r="B141">
        <v>2008</v>
      </c>
      <c r="C141">
        <v>5</v>
      </c>
      <c r="D141" t="s">
        <v>1607</v>
      </c>
      <c r="E141" t="s">
        <v>1606</v>
      </c>
      <c r="F141">
        <v>21</v>
      </c>
      <c r="G141" t="s">
        <v>1602</v>
      </c>
    </row>
    <row r="142" spans="1:7" x14ac:dyDescent="0.55000000000000004">
      <c r="A142" s="1">
        <v>39588</v>
      </c>
      <c r="B142">
        <v>2008</v>
      </c>
      <c r="C142">
        <v>5</v>
      </c>
      <c r="D142" t="s">
        <v>1607</v>
      </c>
      <c r="E142" t="s">
        <v>1606</v>
      </c>
      <c r="F142">
        <v>21</v>
      </c>
      <c r="G142" t="s">
        <v>1596</v>
      </c>
    </row>
    <row r="143" spans="1:7" x14ac:dyDescent="0.55000000000000004">
      <c r="A143" s="1">
        <v>39589</v>
      </c>
      <c r="B143">
        <v>2008</v>
      </c>
      <c r="C143">
        <v>5</v>
      </c>
      <c r="D143" t="s">
        <v>1607</v>
      </c>
      <c r="E143" t="s">
        <v>1606</v>
      </c>
      <c r="F143">
        <v>21</v>
      </c>
      <c r="G143" t="s">
        <v>1597</v>
      </c>
    </row>
    <row r="144" spans="1:7" x14ac:dyDescent="0.55000000000000004">
      <c r="A144" s="1">
        <v>39590</v>
      </c>
      <c r="B144">
        <v>2008</v>
      </c>
      <c r="C144">
        <v>5</v>
      </c>
      <c r="D144" t="s">
        <v>1607</v>
      </c>
      <c r="E144" t="s">
        <v>1606</v>
      </c>
      <c r="F144">
        <v>21</v>
      </c>
      <c r="G144" t="s">
        <v>1598</v>
      </c>
    </row>
    <row r="145" spans="1:7" x14ac:dyDescent="0.55000000000000004">
      <c r="A145" s="1">
        <v>39591</v>
      </c>
      <c r="B145">
        <v>2008</v>
      </c>
      <c r="C145">
        <v>5</v>
      </c>
      <c r="D145" t="s">
        <v>1607</v>
      </c>
      <c r="E145" t="s">
        <v>1606</v>
      </c>
      <c r="F145">
        <v>21</v>
      </c>
      <c r="G145" t="s">
        <v>1599</v>
      </c>
    </row>
    <row r="146" spans="1:7" x14ac:dyDescent="0.55000000000000004">
      <c r="A146" s="1">
        <v>39592</v>
      </c>
      <c r="B146">
        <v>2008</v>
      </c>
      <c r="C146">
        <v>5</v>
      </c>
      <c r="D146" t="s">
        <v>1607</v>
      </c>
      <c r="E146" t="s">
        <v>1606</v>
      </c>
      <c r="F146">
        <v>21</v>
      </c>
      <c r="G146" t="s">
        <v>1600</v>
      </c>
    </row>
    <row r="147" spans="1:7" x14ac:dyDescent="0.55000000000000004">
      <c r="A147" s="1">
        <v>39593</v>
      </c>
      <c r="B147">
        <v>2008</v>
      </c>
      <c r="C147">
        <v>5</v>
      </c>
      <c r="D147" t="s">
        <v>1607</v>
      </c>
      <c r="E147" t="s">
        <v>1606</v>
      </c>
      <c r="F147">
        <v>22</v>
      </c>
      <c r="G147" t="s">
        <v>1601</v>
      </c>
    </row>
    <row r="148" spans="1:7" x14ac:dyDescent="0.55000000000000004">
      <c r="A148" s="1">
        <v>39594</v>
      </c>
      <c r="B148">
        <v>2008</v>
      </c>
      <c r="C148">
        <v>5</v>
      </c>
      <c r="D148" t="s">
        <v>1607</v>
      </c>
      <c r="E148" t="s">
        <v>1606</v>
      </c>
      <c r="F148">
        <v>22</v>
      </c>
      <c r="G148" t="s">
        <v>1602</v>
      </c>
    </row>
    <row r="149" spans="1:7" x14ac:dyDescent="0.55000000000000004">
      <c r="A149" s="1">
        <v>39595</v>
      </c>
      <c r="B149">
        <v>2008</v>
      </c>
      <c r="C149">
        <v>5</v>
      </c>
      <c r="D149" t="s">
        <v>1607</v>
      </c>
      <c r="E149" t="s">
        <v>1606</v>
      </c>
      <c r="F149">
        <v>22</v>
      </c>
      <c r="G149" t="s">
        <v>1596</v>
      </c>
    </row>
    <row r="150" spans="1:7" x14ac:dyDescent="0.55000000000000004">
      <c r="A150" s="1">
        <v>39596</v>
      </c>
      <c r="B150">
        <v>2008</v>
      </c>
      <c r="C150">
        <v>5</v>
      </c>
      <c r="D150" t="s">
        <v>1607</v>
      </c>
      <c r="E150" t="s">
        <v>1606</v>
      </c>
      <c r="F150">
        <v>22</v>
      </c>
      <c r="G150" t="s">
        <v>1597</v>
      </c>
    </row>
    <row r="151" spans="1:7" x14ac:dyDescent="0.55000000000000004">
      <c r="A151" s="1">
        <v>39597</v>
      </c>
      <c r="B151">
        <v>2008</v>
      </c>
      <c r="C151">
        <v>5</v>
      </c>
      <c r="D151" t="s">
        <v>1607</v>
      </c>
      <c r="E151" t="s">
        <v>1606</v>
      </c>
      <c r="F151">
        <v>22</v>
      </c>
      <c r="G151" t="s">
        <v>1598</v>
      </c>
    </row>
    <row r="152" spans="1:7" x14ac:dyDescent="0.55000000000000004">
      <c r="A152" s="1">
        <v>39598</v>
      </c>
      <c r="B152">
        <v>2008</v>
      </c>
      <c r="C152">
        <v>5</v>
      </c>
      <c r="D152" t="s">
        <v>1607</v>
      </c>
      <c r="E152" t="s">
        <v>1606</v>
      </c>
      <c r="F152">
        <v>22</v>
      </c>
      <c r="G152" t="s">
        <v>1599</v>
      </c>
    </row>
    <row r="153" spans="1:7" x14ac:dyDescent="0.55000000000000004">
      <c r="A153" s="1">
        <v>39599</v>
      </c>
      <c r="B153">
        <v>2008</v>
      </c>
      <c r="C153">
        <v>5</v>
      </c>
      <c r="D153" t="s">
        <v>1607</v>
      </c>
      <c r="E153" t="s">
        <v>1606</v>
      </c>
      <c r="F153">
        <v>22</v>
      </c>
      <c r="G153" t="s">
        <v>1600</v>
      </c>
    </row>
    <row r="154" spans="1:7" x14ac:dyDescent="0.55000000000000004">
      <c r="A154" s="1">
        <v>39600</v>
      </c>
      <c r="B154">
        <v>2008</v>
      </c>
      <c r="C154">
        <v>6</v>
      </c>
      <c r="D154" t="s">
        <v>1593</v>
      </c>
      <c r="E154" t="s">
        <v>1606</v>
      </c>
      <c r="F154">
        <v>23</v>
      </c>
      <c r="G154" t="s">
        <v>1601</v>
      </c>
    </row>
    <row r="155" spans="1:7" x14ac:dyDescent="0.55000000000000004">
      <c r="A155" s="1">
        <v>39601</v>
      </c>
      <c r="B155">
        <v>2008</v>
      </c>
      <c r="C155">
        <v>6</v>
      </c>
      <c r="D155" t="s">
        <v>1593</v>
      </c>
      <c r="E155" t="s">
        <v>1606</v>
      </c>
      <c r="F155">
        <v>23</v>
      </c>
      <c r="G155" t="s">
        <v>1602</v>
      </c>
    </row>
    <row r="156" spans="1:7" x14ac:dyDescent="0.55000000000000004">
      <c r="A156" s="1">
        <v>39602</v>
      </c>
      <c r="B156">
        <v>2008</v>
      </c>
      <c r="C156">
        <v>6</v>
      </c>
      <c r="D156" t="s">
        <v>1593</v>
      </c>
      <c r="E156" t="s">
        <v>1606</v>
      </c>
      <c r="F156">
        <v>23</v>
      </c>
      <c r="G156" t="s">
        <v>1596</v>
      </c>
    </row>
    <row r="157" spans="1:7" x14ac:dyDescent="0.55000000000000004">
      <c r="A157" s="1">
        <v>39603</v>
      </c>
      <c r="B157">
        <v>2008</v>
      </c>
      <c r="C157">
        <v>6</v>
      </c>
      <c r="D157" t="s">
        <v>1593</v>
      </c>
      <c r="E157" t="s">
        <v>1606</v>
      </c>
      <c r="F157">
        <v>23</v>
      </c>
      <c r="G157" t="s">
        <v>1597</v>
      </c>
    </row>
    <row r="158" spans="1:7" x14ac:dyDescent="0.55000000000000004">
      <c r="A158" s="1">
        <v>39604</v>
      </c>
      <c r="B158">
        <v>2008</v>
      </c>
      <c r="C158">
        <v>6</v>
      </c>
      <c r="D158" t="s">
        <v>1593</v>
      </c>
      <c r="E158" t="s">
        <v>1606</v>
      </c>
      <c r="F158">
        <v>23</v>
      </c>
      <c r="G158" t="s">
        <v>1598</v>
      </c>
    </row>
    <row r="159" spans="1:7" x14ac:dyDescent="0.55000000000000004">
      <c r="A159" s="1">
        <v>39605</v>
      </c>
      <c r="B159">
        <v>2008</v>
      </c>
      <c r="C159">
        <v>6</v>
      </c>
      <c r="D159" t="s">
        <v>1593</v>
      </c>
      <c r="E159" t="s">
        <v>1606</v>
      </c>
      <c r="F159">
        <v>23</v>
      </c>
      <c r="G159" t="s">
        <v>1599</v>
      </c>
    </row>
    <row r="160" spans="1:7" x14ac:dyDescent="0.55000000000000004">
      <c r="A160" s="1">
        <v>39606</v>
      </c>
      <c r="B160">
        <v>2008</v>
      </c>
      <c r="C160">
        <v>6</v>
      </c>
      <c r="D160" t="s">
        <v>1593</v>
      </c>
      <c r="E160" t="s">
        <v>1606</v>
      </c>
      <c r="F160">
        <v>23</v>
      </c>
      <c r="G160" t="s">
        <v>1600</v>
      </c>
    </row>
    <row r="161" spans="1:7" x14ac:dyDescent="0.55000000000000004">
      <c r="A161" s="1">
        <v>39607</v>
      </c>
      <c r="B161">
        <v>2008</v>
      </c>
      <c r="C161">
        <v>6</v>
      </c>
      <c r="D161" t="s">
        <v>1593</v>
      </c>
      <c r="E161" t="s">
        <v>1606</v>
      </c>
      <c r="F161">
        <v>24</v>
      </c>
      <c r="G161" t="s">
        <v>1601</v>
      </c>
    </row>
    <row r="162" spans="1:7" x14ac:dyDescent="0.55000000000000004">
      <c r="A162" s="1">
        <v>39608</v>
      </c>
      <c r="B162">
        <v>2008</v>
      </c>
      <c r="C162">
        <v>6</v>
      </c>
      <c r="D162" t="s">
        <v>1593</v>
      </c>
      <c r="E162" t="s">
        <v>1606</v>
      </c>
      <c r="F162">
        <v>24</v>
      </c>
      <c r="G162" t="s">
        <v>1602</v>
      </c>
    </row>
    <row r="163" spans="1:7" x14ac:dyDescent="0.55000000000000004">
      <c r="A163" s="1">
        <v>39609</v>
      </c>
      <c r="B163">
        <v>2008</v>
      </c>
      <c r="C163">
        <v>6</v>
      </c>
      <c r="D163" t="s">
        <v>1593</v>
      </c>
      <c r="E163" t="s">
        <v>1606</v>
      </c>
      <c r="F163">
        <v>24</v>
      </c>
      <c r="G163" t="s">
        <v>1596</v>
      </c>
    </row>
    <row r="164" spans="1:7" x14ac:dyDescent="0.55000000000000004">
      <c r="A164" s="1">
        <v>39610</v>
      </c>
      <c r="B164">
        <v>2008</v>
      </c>
      <c r="C164">
        <v>6</v>
      </c>
      <c r="D164" t="s">
        <v>1593</v>
      </c>
      <c r="E164" t="s">
        <v>1606</v>
      </c>
      <c r="F164">
        <v>24</v>
      </c>
      <c r="G164" t="s">
        <v>1597</v>
      </c>
    </row>
    <row r="165" spans="1:7" x14ac:dyDescent="0.55000000000000004">
      <c r="A165" s="1">
        <v>39611</v>
      </c>
      <c r="B165">
        <v>2008</v>
      </c>
      <c r="C165">
        <v>6</v>
      </c>
      <c r="D165" t="s">
        <v>1593</v>
      </c>
      <c r="E165" t="s">
        <v>1606</v>
      </c>
      <c r="F165">
        <v>24</v>
      </c>
      <c r="G165" t="s">
        <v>1598</v>
      </c>
    </row>
    <row r="166" spans="1:7" x14ac:dyDescent="0.55000000000000004">
      <c r="A166" s="1">
        <v>39612</v>
      </c>
      <c r="B166">
        <v>2008</v>
      </c>
      <c r="C166">
        <v>6</v>
      </c>
      <c r="D166" t="s">
        <v>1593</v>
      </c>
      <c r="E166" t="s">
        <v>1606</v>
      </c>
      <c r="F166">
        <v>24</v>
      </c>
      <c r="G166" t="s">
        <v>1599</v>
      </c>
    </row>
    <row r="167" spans="1:7" x14ac:dyDescent="0.55000000000000004">
      <c r="A167" s="1">
        <v>39613</v>
      </c>
      <c r="B167">
        <v>2008</v>
      </c>
      <c r="C167">
        <v>6</v>
      </c>
      <c r="D167" t="s">
        <v>1593</v>
      </c>
      <c r="E167" t="s">
        <v>1606</v>
      </c>
      <c r="F167">
        <v>24</v>
      </c>
      <c r="G167" t="s">
        <v>1600</v>
      </c>
    </row>
    <row r="168" spans="1:7" x14ac:dyDescent="0.55000000000000004">
      <c r="A168" s="1">
        <v>39614</v>
      </c>
      <c r="B168">
        <v>2008</v>
      </c>
      <c r="C168">
        <v>6</v>
      </c>
      <c r="D168" t="s">
        <v>1593</v>
      </c>
      <c r="E168" t="s">
        <v>1606</v>
      </c>
      <c r="F168">
        <v>25</v>
      </c>
      <c r="G168" t="s">
        <v>1601</v>
      </c>
    </row>
    <row r="169" spans="1:7" x14ac:dyDescent="0.55000000000000004">
      <c r="A169" s="1">
        <v>39615</v>
      </c>
      <c r="B169">
        <v>2008</v>
      </c>
      <c r="C169">
        <v>6</v>
      </c>
      <c r="D169" t="s">
        <v>1593</v>
      </c>
      <c r="E169" t="s">
        <v>1606</v>
      </c>
      <c r="F169">
        <v>25</v>
      </c>
      <c r="G169" t="s">
        <v>1602</v>
      </c>
    </row>
    <row r="170" spans="1:7" x14ac:dyDescent="0.55000000000000004">
      <c r="A170" s="1">
        <v>39616</v>
      </c>
      <c r="B170">
        <v>2008</v>
      </c>
      <c r="C170">
        <v>6</v>
      </c>
      <c r="D170" t="s">
        <v>1593</v>
      </c>
      <c r="E170" t="s">
        <v>1606</v>
      </c>
      <c r="F170">
        <v>25</v>
      </c>
      <c r="G170" t="s">
        <v>1596</v>
      </c>
    </row>
    <row r="171" spans="1:7" x14ac:dyDescent="0.55000000000000004">
      <c r="A171" s="1">
        <v>39617</v>
      </c>
      <c r="B171">
        <v>2008</v>
      </c>
      <c r="C171">
        <v>6</v>
      </c>
      <c r="D171" t="s">
        <v>1593</v>
      </c>
      <c r="E171" t="s">
        <v>1606</v>
      </c>
      <c r="F171">
        <v>25</v>
      </c>
      <c r="G171" t="s">
        <v>1597</v>
      </c>
    </row>
    <row r="172" spans="1:7" x14ac:dyDescent="0.55000000000000004">
      <c r="A172" s="1">
        <v>39618</v>
      </c>
      <c r="B172">
        <v>2008</v>
      </c>
      <c r="C172">
        <v>6</v>
      </c>
      <c r="D172" t="s">
        <v>1593</v>
      </c>
      <c r="E172" t="s">
        <v>1606</v>
      </c>
      <c r="F172">
        <v>25</v>
      </c>
      <c r="G172" t="s">
        <v>1598</v>
      </c>
    </row>
    <row r="173" spans="1:7" x14ac:dyDescent="0.55000000000000004">
      <c r="A173" s="1">
        <v>39619</v>
      </c>
      <c r="B173">
        <v>2008</v>
      </c>
      <c r="C173">
        <v>6</v>
      </c>
      <c r="D173" t="s">
        <v>1593</v>
      </c>
      <c r="E173" t="s">
        <v>1606</v>
      </c>
      <c r="F173">
        <v>25</v>
      </c>
      <c r="G173" t="s">
        <v>1599</v>
      </c>
    </row>
    <row r="174" spans="1:7" x14ac:dyDescent="0.55000000000000004">
      <c r="A174" s="1">
        <v>39620</v>
      </c>
      <c r="B174">
        <v>2008</v>
      </c>
      <c r="C174">
        <v>6</v>
      </c>
      <c r="D174" t="s">
        <v>1593</v>
      </c>
      <c r="E174" t="s">
        <v>1606</v>
      </c>
      <c r="F174">
        <v>25</v>
      </c>
      <c r="G174" t="s">
        <v>1600</v>
      </c>
    </row>
    <row r="175" spans="1:7" x14ac:dyDescent="0.55000000000000004">
      <c r="A175" s="1">
        <v>39621</v>
      </c>
      <c r="B175">
        <v>2008</v>
      </c>
      <c r="C175">
        <v>6</v>
      </c>
      <c r="D175" t="s">
        <v>1593</v>
      </c>
      <c r="E175" t="s">
        <v>1606</v>
      </c>
      <c r="F175">
        <v>26</v>
      </c>
      <c r="G175" t="s">
        <v>1601</v>
      </c>
    </row>
    <row r="176" spans="1:7" x14ac:dyDescent="0.55000000000000004">
      <c r="A176" s="1">
        <v>39622</v>
      </c>
      <c r="B176">
        <v>2008</v>
      </c>
      <c r="C176">
        <v>6</v>
      </c>
      <c r="D176" t="s">
        <v>1593</v>
      </c>
      <c r="E176" t="s">
        <v>1606</v>
      </c>
      <c r="F176">
        <v>26</v>
      </c>
      <c r="G176" t="s">
        <v>1602</v>
      </c>
    </row>
    <row r="177" spans="1:7" x14ac:dyDescent="0.55000000000000004">
      <c r="A177" s="1">
        <v>39623</v>
      </c>
      <c r="B177">
        <v>2008</v>
      </c>
      <c r="C177">
        <v>6</v>
      </c>
      <c r="D177" t="s">
        <v>1593</v>
      </c>
      <c r="E177" t="s">
        <v>1606</v>
      </c>
      <c r="F177">
        <v>26</v>
      </c>
      <c r="G177" t="s">
        <v>1596</v>
      </c>
    </row>
    <row r="178" spans="1:7" x14ac:dyDescent="0.55000000000000004">
      <c r="A178" s="1">
        <v>39624</v>
      </c>
      <c r="B178">
        <v>2008</v>
      </c>
      <c r="C178">
        <v>6</v>
      </c>
      <c r="D178" t="s">
        <v>1593</v>
      </c>
      <c r="E178" t="s">
        <v>1606</v>
      </c>
      <c r="F178">
        <v>26</v>
      </c>
      <c r="G178" t="s">
        <v>1597</v>
      </c>
    </row>
    <row r="179" spans="1:7" x14ac:dyDescent="0.55000000000000004">
      <c r="A179" s="1">
        <v>39625</v>
      </c>
      <c r="B179">
        <v>2008</v>
      </c>
      <c r="C179">
        <v>6</v>
      </c>
      <c r="D179" t="s">
        <v>1593</v>
      </c>
      <c r="E179" t="s">
        <v>1606</v>
      </c>
      <c r="F179">
        <v>26</v>
      </c>
      <c r="G179" t="s">
        <v>1598</v>
      </c>
    </row>
    <row r="180" spans="1:7" x14ac:dyDescent="0.55000000000000004">
      <c r="A180" s="1">
        <v>39626</v>
      </c>
      <c r="B180">
        <v>2008</v>
      </c>
      <c r="C180">
        <v>6</v>
      </c>
      <c r="D180" t="s">
        <v>1593</v>
      </c>
      <c r="E180" t="s">
        <v>1606</v>
      </c>
      <c r="F180">
        <v>26</v>
      </c>
      <c r="G180" t="s">
        <v>1599</v>
      </c>
    </row>
    <row r="181" spans="1:7" x14ac:dyDescent="0.55000000000000004">
      <c r="A181" s="1">
        <v>39627</v>
      </c>
      <c r="B181">
        <v>2008</v>
      </c>
      <c r="C181">
        <v>6</v>
      </c>
      <c r="D181" t="s">
        <v>1593</v>
      </c>
      <c r="E181" t="s">
        <v>1606</v>
      </c>
      <c r="F181">
        <v>26</v>
      </c>
      <c r="G181" t="s">
        <v>1600</v>
      </c>
    </row>
    <row r="182" spans="1:7" x14ac:dyDescent="0.55000000000000004">
      <c r="A182" s="1">
        <v>39628</v>
      </c>
      <c r="B182">
        <v>2008</v>
      </c>
      <c r="C182">
        <v>6</v>
      </c>
      <c r="D182" t="s">
        <v>1593</v>
      </c>
      <c r="E182" t="s">
        <v>1606</v>
      </c>
      <c r="F182">
        <v>27</v>
      </c>
      <c r="G182" t="s">
        <v>1601</v>
      </c>
    </row>
    <row r="183" spans="1:7" x14ac:dyDescent="0.55000000000000004">
      <c r="A183" s="1">
        <v>39629</v>
      </c>
      <c r="B183">
        <v>2008</v>
      </c>
      <c r="C183">
        <v>6</v>
      </c>
      <c r="D183" t="s">
        <v>1593</v>
      </c>
      <c r="E183" t="s">
        <v>1606</v>
      </c>
      <c r="F183">
        <v>27</v>
      </c>
      <c r="G183" t="s">
        <v>1602</v>
      </c>
    </row>
    <row r="184" spans="1:7" x14ac:dyDescent="0.55000000000000004">
      <c r="A184" s="1">
        <v>39630</v>
      </c>
      <c r="B184">
        <v>2008</v>
      </c>
      <c r="C184">
        <v>7</v>
      </c>
      <c r="D184" t="s">
        <v>1608</v>
      </c>
      <c r="E184" t="s">
        <v>1609</v>
      </c>
      <c r="F184">
        <v>27</v>
      </c>
      <c r="G184" t="s">
        <v>1596</v>
      </c>
    </row>
    <row r="185" spans="1:7" x14ac:dyDescent="0.55000000000000004">
      <c r="A185" s="1">
        <v>39631</v>
      </c>
      <c r="B185">
        <v>2008</v>
      </c>
      <c r="C185">
        <v>7</v>
      </c>
      <c r="D185" t="s">
        <v>1608</v>
      </c>
      <c r="E185" t="s">
        <v>1609</v>
      </c>
      <c r="F185">
        <v>27</v>
      </c>
      <c r="G185" t="s">
        <v>1597</v>
      </c>
    </row>
    <row r="186" spans="1:7" x14ac:dyDescent="0.55000000000000004">
      <c r="A186" s="1">
        <v>39632</v>
      </c>
      <c r="B186">
        <v>2008</v>
      </c>
      <c r="C186">
        <v>7</v>
      </c>
      <c r="D186" t="s">
        <v>1608</v>
      </c>
      <c r="E186" t="s">
        <v>1609</v>
      </c>
      <c r="F186">
        <v>27</v>
      </c>
      <c r="G186" t="s">
        <v>1598</v>
      </c>
    </row>
    <row r="187" spans="1:7" x14ac:dyDescent="0.55000000000000004">
      <c r="A187" s="1">
        <v>39633</v>
      </c>
      <c r="B187">
        <v>2008</v>
      </c>
      <c r="C187">
        <v>7</v>
      </c>
      <c r="D187" t="s">
        <v>1608</v>
      </c>
      <c r="E187" t="s">
        <v>1609</v>
      </c>
      <c r="F187">
        <v>27</v>
      </c>
      <c r="G187" t="s">
        <v>1599</v>
      </c>
    </row>
    <row r="188" spans="1:7" x14ac:dyDescent="0.55000000000000004">
      <c r="A188" s="1">
        <v>39634</v>
      </c>
      <c r="B188">
        <v>2008</v>
      </c>
      <c r="C188">
        <v>7</v>
      </c>
      <c r="D188" t="s">
        <v>1608</v>
      </c>
      <c r="E188" t="s">
        <v>1609</v>
      </c>
      <c r="F188">
        <v>27</v>
      </c>
      <c r="G188" t="s">
        <v>1600</v>
      </c>
    </row>
    <row r="189" spans="1:7" x14ac:dyDescent="0.55000000000000004">
      <c r="A189" s="1">
        <v>39635</v>
      </c>
      <c r="B189">
        <v>2008</v>
      </c>
      <c r="C189">
        <v>7</v>
      </c>
      <c r="D189" t="s">
        <v>1608</v>
      </c>
      <c r="E189" t="s">
        <v>1609</v>
      </c>
      <c r="F189">
        <v>28</v>
      </c>
      <c r="G189" t="s">
        <v>1601</v>
      </c>
    </row>
    <row r="190" spans="1:7" x14ac:dyDescent="0.55000000000000004">
      <c r="A190" s="1">
        <v>39636</v>
      </c>
      <c r="B190">
        <v>2008</v>
      </c>
      <c r="C190">
        <v>7</v>
      </c>
      <c r="D190" t="s">
        <v>1608</v>
      </c>
      <c r="E190" t="s">
        <v>1609</v>
      </c>
      <c r="F190">
        <v>28</v>
      </c>
      <c r="G190" t="s">
        <v>1602</v>
      </c>
    </row>
    <row r="191" spans="1:7" x14ac:dyDescent="0.55000000000000004">
      <c r="A191" s="1">
        <v>39637</v>
      </c>
      <c r="B191">
        <v>2008</v>
      </c>
      <c r="C191">
        <v>7</v>
      </c>
      <c r="D191" t="s">
        <v>1608</v>
      </c>
      <c r="E191" t="s">
        <v>1609</v>
      </c>
      <c r="F191">
        <v>28</v>
      </c>
      <c r="G191" t="s">
        <v>1596</v>
      </c>
    </row>
    <row r="192" spans="1:7" x14ac:dyDescent="0.55000000000000004">
      <c r="A192" s="1">
        <v>39638</v>
      </c>
      <c r="B192">
        <v>2008</v>
      </c>
      <c r="C192">
        <v>7</v>
      </c>
      <c r="D192" t="s">
        <v>1608</v>
      </c>
      <c r="E192" t="s">
        <v>1609</v>
      </c>
      <c r="F192">
        <v>28</v>
      </c>
      <c r="G192" t="s">
        <v>1597</v>
      </c>
    </row>
    <row r="193" spans="1:7" x14ac:dyDescent="0.55000000000000004">
      <c r="A193" s="1">
        <v>39639</v>
      </c>
      <c r="B193">
        <v>2008</v>
      </c>
      <c r="C193">
        <v>7</v>
      </c>
      <c r="D193" t="s">
        <v>1608</v>
      </c>
      <c r="E193" t="s">
        <v>1609</v>
      </c>
      <c r="F193">
        <v>28</v>
      </c>
      <c r="G193" t="s">
        <v>1598</v>
      </c>
    </row>
    <row r="194" spans="1:7" x14ac:dyDescent="0.55000000000000004">
      <c r="A194" s="1">
        <v>39640</v>
      </c>
      <c r="B194">
        <v>2008</v>
      </c>
      <c r="C194">
        <v>7</v>
      </c>
      <c r="D194" t="s">
        <v>1608</v>
      </c>
      <c r="E194" t="s">
        <v>1609</v>
      </c>
      <c r="F194">
        <v>28</v>
      </c>
      <c r="G194" t="s">
        <v>1599</v>
      </c>
    </row>
    <row r="195" spans="1:7" x14ac:dyDescent="0.55000000000000004">
      <c r="A195" s="1">
        <v>39641</v>
      </c>
      <c r="B195">
        <v>2008</v>
      </c>
      <c r="C195">
        <v>7</v>
      </c>
      <c r="D195" t="s">
        <v>1608</v>
      </c>
      <c r="E195" t="s">
        <v>1609</v>
      </c>
      <c r="F195">
        <v>28</v>
      </c>
      <c r="G195" t="s">
        <v>1600</v>
      </c>
    </row>
    <row r="196" spans="1:7" x14ac:dyDescent="0.55000000000000004">
      <c r="A196" s="1">
        <v>39642</v>
      </c>
      <c r="B196">
        <v>2008</v>
      </c>
      <c r="C196">
        <v>7</v>
      </c>
      <c r="D196" t="s">
        <v>1608</v>
      </c>
      <c r="E196" t="s">
        <v>1609</v>
      </c>
      <c r="F196">
        <v>29</v>
      </c>
      <c r="G196" t="s">
        <v>1601</v>
      </c>
    </row>
    <row r="197" spans="1:7" x14ac:dyDescent="0.55000000000000004">
      <c r="A197" s="1">
        <v>39643</v>
      </c>
      <c r="B197">
        <v>2008</v>
      </c>
      <c r="C197">
        <v>7</v>
      </c>
      <c r="D197" t="s">
        <v>1608</v>
      </c>
      <c r="E197" t="s">
        <v>1609</v>
      </c>
      <c r="F197">
        <v>29</v>
      </c>
      <c r="G197" t="s">
        <v>1602</v>
      </c>
    </row>
    <row r="198" spans="1:7" x14ac:dyDescent="0.55000000000000004">
      <c r="A198" s="1">
        <v>39644</v>
      </c>
      <c r="B198">
        <v>2008</v>
      </c>
      <c r="C198">
        <v>7</v>
      </c>
      <c r="D198" t="s">
        <v>1608</v>
      </c>
      <c r="E198" t="s">
        <v>1609</v>
      </c>
      <c r="F198">
        <v>29</v>
      </c>
      <c r="G198" t="s">
        <v>1596</v>
      </c>
    </row>
    <row r="199" spans="1:7" x14ac:dyDescent="0.55000000000000004">
      <c r="A199" s="1">
        <v>39645</v>
      </c>
      <c r="B199">
        <v>2008</v>
      </c>
      <c r="C199">
        <v>7</v>
      </c>
      <c r="D199" t="s">
        <v>1608</v>
      </c>
      <c r="E199" t="s">
        <v>1609</v>
      </c>
      <c r="F199">
        <v>29</v>
      </c>
      <c r="G199" t="s">
        <v>1597</v>
      </c>
    </row>
    <row r="200" spans="1:7" x14ac:dyDescent="0.55000000000000004">
      <c r="A200" s="1">
        <v>39646</v>
      </c>
      <c r="B200">
        <v>2008</v>
      </c>
      <c r="C200">
        <v>7</v>
      </c>
      <c r="D200" t="s">
        <v>1608</v>
      </c>
      <c r="E200" t="s">
        <v>1609</v>
      </c>
      <c r="F200">
        <v>29</v>
      </c>
      <c r="G200" t="s">
        <v>1598</v>
      </c>
    </row>
    <row r="201" spans="1:7" x14ac:dyDescent="0.55000000000000004">
      <c r="A201" s="1">
        <v>39647</v>
      </c>
      <c r="B201">
        <v>2008</v>
      </c>
      <c r="C201">
        <v>7</v>
      </c>
      <c r="D201" t="s">
        <v>1608</v>
      </c>
      <c r="E201" t="s">
        <v>1609</v>
      </c>
      <c r="F201">
        <v>29</v>
      </c>
      <c r="G201" t="s">
        <v>1599</v>
      </c>
    </row>
    <row r="202" spans="1:7" x14ac:dyDescent="0.55000000000000004">
      <c r="A202" s="1">
        <v>39648</v>
      </c>
      <c r="B202">
        <v>2008</v>
      </c>
      <c r="C202">
        <v>7</v>
      </c>
      <c r="D202" t="s">
        <v>1608</v>
      </c>
      <c r="E202" t="s">
        <v>1609</v>
      </c>
      <c r="F202">
        <v>29</v>
      </c>
      <c r="G202" t="s">
        <v>1600</v>
      </c>
    </row>
    <row r="203" spans="1:7" x14ac:dyDescent="0.55000000000000004">
      <c r="A203" s="1">
        <v>39649</v>
      </c>
      <c r="B203">
        <v>2008</v>
      </c>
      <c r="C203">
        <v>7</v>
      </c>
      <c r="D203" t="s">
        <v>1608</v>
      </c>
      <c r="E203" t="s">
        <v>1609</v>
      </c>
      <c r="F203">
        <v>30</v>
      </c>
      <c r="G203" t="s">
        <v>1601</v>
      </c>
    </row>
    <row r="204" spans="1:7" x14ac:dyDescent="0.55000000000000004">
      <c r="A204" s="1">
        <v>39650</v>
      </c>
      <c r="B204">
        <v>2008</v>
      </c>
      <c r="C204">
        <v>7</v>
      </c>
      <c r="D204" t="s">
        <v>1608</v>
      </c>
      <c r="E204" t="s">
        <v>1609</v>
      </c>
      <c r="F204">
        <v>30</v>
      </c>
      <c r="G204" t="s">
        <v>1602</v>
      </c>
    </row>
    <row r="205" spans="1:7" x14ac:dyDescent="0.55000000000000004">
      <c r="A205" s="1">
        <v>39651</v>
      </c>
      <c r="B205">
        <v>2008</v>
      </c>
      <c r="C205">
        <v>7</v>
      </c>
      <c r="D205" t="s">
        <v>1608</v>
      </c>
      <c r="E205" t="s">
        <v>1609</v>
      </c>
      <c r="F205">
        <v>30</v>
      </c>
      <c r="G205" t="s">
        <v>1596</v>
      </c>
    </row>
    <row r="206" spans="1:7" x14ac:dyDescent="0.55000000000000004">
      <c r="A206" s="1">
        <v>39652</v>
      </c>
      <c r="B206">
        <v>2008</v>
      </c>
      <c r="C206">
        <v>7</v>
      </c>
      <c r="D206" t="s">
        <v>1608</v>
      </c>
      <c r="E206" t="s">
        <v>1609</v>
      </c>
      <c r="F206">
        <v>30</v>
      </c>
      <c r="G206" t="s">
        <v>1597</v>
      </c>
    </row>
    <row r="207" spans="1:7" x14ac:dyDescent="0.55000000000000004">
      <c r="A207" s="1">
        <v>39653</v>
      </c>
      <c r="B207">
        <v>2008</v>
      </c>
      <c r="C207">
        <v>7</v>
      </c>
      <c r="D207" t="s">
        <v>1608</v>
      </c>
      <c r="E207" t="s">
        <v>1609</v>
      </c>
      <c r="F207">
        <v>30</v>
      </c>
      <c r="G207" t="s">
        <v>1598</v>
      </c>
    </row>
    <row r="208" spans="1:7" x14ac:dyDescent="0.55000000000000004">
      <c r="A208" s="1">
        <v>39654</v>
      </c>
      <c r="B208">
        <v>2008</v>
      </c>
      <c r="C208">
        <v>7</v>
      </c>
      <c r="D208" t="s">
        <v>1608</v>
      </c>
      <c r="E208" t="s">
        <v>1609</v>
      </c>
      <c r="F208">
        <v>30</v>
      </c>
      <c r="G208" t="s">
        <v>1599</v>
      </c>
    </row>
    <row r="209" spans="1:7" x14ac:dyDescent="0.55000000000000004">
      <c r="A209" s="1">
        <v>39655</v>
      </c>
      <c r="B209">
        <v>2008</v>
      </c>
      <c r="C209">
        <v>7</v>
      </c>
      <c r="D209" t="s">
        <v>1608</v>
      </c>
      <c r="E209" t="s">
        <v>1609</v>
      </c>
      <c r="F209">
        <v>30</v>
      </c>
      <c r="G209" t="s">
        <v>1600</v>
      </c>
    </row>
    <row r="210" spans="1:7" x14ac:dyDescent="0.55000000000000004">
      <c r="A210" s="1">
        <v>39656</v>
      </c>
      <c r="B210">
        <v>2008</v>
      </c>
      <c r="C210">
        <v>7</v>
      </c>
      <c r="D210" t="s">
        <v>1608</v>
      </c>
      <c r="E210" t="s">
        <v>1609</v>
      </c>
      <c r="F210">
        <v>31</v>
      </c>
      <c r="G210" t="s">
        <v>1601</v>
      </c>
    </row>
    <row r="211" spans="1:7" x14ac:dyDescent="0.55000000000000004">
      <c r="A211" s="1">
        <v>39657</v>
      </c>
      <c r="B211">
        <v>2008</v>
      </c>
      <c r="C211">
        <v>7</v>
      </c>
      <c r="D211" t="s">
        <v>1608</v>
      </c>
      <c r="E211" t="s">
        <v>1609</v>
      </c>
      <c r="F211">
        <v>31</v>
      </c>
      <c r="G211" t="s">
        <v>1602</v>
      </c>
    </row>
    <row r="212" spans="1:7" x14ac:dyDescent="0.55000000000000004">
      <c r="A212" s="1">
        <v>39658</v>
      </c>
      <c r="B212">
        <v>2008</v>
      </c>
      <c r="C212">
        <v>7</v>
      </c>
      <c r="D212" t="s">
        <v>1608</v>
      </c>
      <c r="E212" t="s">
        <v>1609</v>
      </c>
      <c r="F212">
        <v>31</v>
      </c>
      <c r="G212" t="s">
        <v>1596</v>
      </c>
    </row>
    <row r="213" spans="1:7" x14ac:dyDescent="0.55000000000000004">
      <c r="A213" s="1">
        <v>39659</v>
      </c>
      <c r="B213">
        <v>2008</v>
      </c>
      <c r="C213">
        <v>7</v>
      </c>
      <c r="D213" t="s">
        <v>1608</v>
      </c>
      <c r="E213" t="s">
        <v>1609</v>
      </c>
      <c r="F213">
        <v>31</v>
      </c>
      <c r="G213" t="s">
        <v>1597</v>
      </c>
    </row>
    <row r="214" spans="1:7" x14ac:dyDescent="0.55000000000000004">
      <c r="A214" s="1">
        <v>39660</v>
      </c>
      <c r="B214">
        <v>2008</v>
      </c>
      <c r="C214">
        <v>7</v>
      </c>
      <c r="D214" t="s">
        <v>1608</v>
      </c>
      <c r="E214" t="s">
        <v>1609</v>
      </c>
      <c r="F214">
        <v>31</v>
      </c>
      <c r="G214" t="s">
        <v>1598</v>
      </c>
    </row>
    <row r="215" spans="1:7" x14ac:dyDescent="0.55000000000000004">
      <c r="A215" s="1">
        <v>39661</v>
      </c>
      <c r="B215">
        <v>2008</v>
      </c>
      <c r="C215">
        <v>8</v>
      </c>
      <c r="D215" t="s">
        <v>1610</v>
      </c>
      <c r="E215" t="s">
        <v>1609</v>
      </c>
      <c r="F215">
        <v>31</v>
      </c>
      <c r="G215" t="s">
        <v>1599</v>
      </c>
    </row>
    <row r="216" spans="1:7" x14ac:dyDescent="0.55000000000000004">
      <c r="A216" s="1">
        <v>39662</v>
      </c>
      <c r="B216">
        <v>2008</v>
      </c>
      <c r="C216">
        <v>8</v>
      </c>
      <c r="D216" t="s">
        <v>1610</v>
      </c>
      <c r="E216" t="s">
        <v>1609</v>
      </c>
      <c r="F216">
        <v>31</v>
      </c>
      <c r="G216" t="s">
        <v>1600</v>
      </c>
    </row>
    <row r="217" spans="1:7" x14ac:dyDescent="0.55000000000000004">
      <c r="A217" s="1">
        <v>39663</v>
      </c>
      <c r="B217">
        <v>2008</v>
      </c>
      <c r="C217">
        <v>8</v>
      </c>
      <c r="D217" t="s">
        <v>1610</v>
      </c>
      <c r="E217" t="s">
        <v>1609</v>
      </c>
      <c r="F217">
        <v>32</v>
      </c>
      <c r="G217" t="s">
        <v>1601</v>
      </c>
    </row>
    <row r="218" spans="1:7" x14ac:dyDescent="0.55000000000000004">
      <c r="A218" s="1">
        <v>39664</v>
      </c>
      <c r="B218">
        <v>2008</v>
      </c>
      <c r="C218">
        <v>8</v>
      </c>
      <c r="D218" t="s">
        <v>1610</v>
      </c>
      <c r="E218" t="s">
        <v>1609</v>
      </c>
      <c r="F218">
        <v>32</v>
      </c>
      <c r="G218" t="s">
        <v>1602</v>
      </c>
    </row>
    <row r="219" spans="1:7" x14ac:dyDescent="0.55000000000000004">
      <c r="A219" s="1">
        <v>39665</v>
      </c>
      <c r="B219">
        <v>2008</v>
      </c>
      <c r="C219">
        <v>8</v>
      </c>
      <c r="D219" t="s">
        <v>1610</v>
      </c>
      <c r="E219" t="s">
        <v>1609</v>
      </c>
      <c r="F219">
        <v>32</v>
      </c>
      <c r="G219" t="s">
        <v>1596</v>
      </c>
    </row>
    <row r="220" spans="1:7" x14ac:dyDescent="0.55000000000000004">
      <c r="A220" s="1">
        <v>39666</v>
      </c>
      <c r="B220">
        <v>2008</v>
      </c>
      <c r="C220">
        <v>8</v>
      </c>
      <c r="D220" t="s">
        <v>1610</v>
      </c>
      <c r="E220" t="s">
        <v>1609</v>
      </c>
      <c r="F220">
        <v>32</v>
      </c>
      <c r="G220" t="s">
        <v>1597</v>
      </c>
    </row>
    <row r="221" spans="1:7" x14ac:dyDescent="0.55000000000000004">
      <c r="A221" s="1">
        <v>39667</v>
      </c>
      <c r="B221">
        <v>2008</v>
      </c>
      <c r="C221">
        <v>8</v>
      </c>
      <c r="D221" t="s">
        <v>1610</v>
      </c>
      <c r="E221" t="s">
        <v>1609</v>
      </c>
      <c r="F221">
        <v>32</v>
      </c>
      <c r="G221" t="s">
        <v>1598</v>
      </c>
    </row>
    <row r="222" spans="1:7" x14ac:dyDescent="0.55000000000000004">
      <c r="A222" s="1">
        <v>39668</v>
      </c>
      <c r="B222">
        <v>2008</v>
      </c>
      <c r="C222">
        <v>8</v>
      </c>
      <c r="D222" t="s">
        <v>1610</v>
      </c>
      <c r="E222" t="s">
        <v>1609</v>
      </c>
      <c r="F222">
        <v>32</v>
      </c>
      <c r="G222" t="s">
        <v>1599</v>
      </c>
    </row>
    <row r="223" spans="1:7" x14ac:dyDescent="0.55000000000000004">
      <c r="A223" s="1">
        <v>39669</v>
      </c>
      <c r="B223">
        <v>2008</v>
      </c>
      <c r="C223">
        <v>8</v>
      </c>
      <c r="D223" t="s">
        <v>1610</v>
      </c>
      <c r="E223" t="s">
        <v>1609</v>
      </c>
      <c r="F223">
        <v>32</v>
      </c>
      <c r="G223" t="s">
        <v>1600</v>
      </c>
    </row>
    <row r="224" spans="1:7" x14ac:dyDescent="0.55000000000000004">
      <c r="A224" s="1">
        <v>39670</v>
      </c>
      <c r="B224">
        <v>2008</v>
      </c>
      <c r="C224">
        <v>8</v>
      </c>
      <c r="D224" t="s">
        <v>1610</v>
      </c>
      <c r="E224" t="s">
        <v>1609</v>
      </c>
      <c r="F224">
        <v>33</v>
      </c>
      <c r="G224" t="s">
        <v>1601</v>
      </c>
    </row>
    <row r="225" spans="1:7" x14ac:dyDescent="0.55000000000000004">
      <c r="A225" s="1">
        <v>39671</v>
      </c>
      <c r="B225">
        <v>2008</v>
      </c>
      <c r="C225">
        <v>8</v>
      </c>
      <c r="D225" t="s">
        <v>1610</v>
      </c>
      <c r="E225" t="s">
        <v>1609</v>
      </c>
      <c r="F225">
        <v>33</v>
      </c>
      <c r="G225" t="s">
        <v>1602</v>
      </c>
    </row>
    <row r="226" spans="1:7" x14ac:dyDescent="0.55000000000000004">
      <c r="A226" s="1">
        <v>39672</v>
      </c>
      <c r="B226">
        <v>2008</v>
      </c>
      <c r="C226">
        <v>8</v>
      </c>
      <c r="D226" t="s">
        <v>1610</v>
      </c>
      <c r="E226" t="s">
        <v>1609</v>
      </c>
      <c r="F226">
        <v>33</v>
      </c>
      <c r="G226" t="s">
        <v>1596</v>
      </c>
    </row>
    <row r="227" spans="1:7" x14ac:dyDescent="0.55000000000000004">
      <c r="A227" s="1">
        <v>39673</v>
      </c>
      <c r="B227">
        <v>2008</v>
      </c>
      <c r="C227">
        <v>8</v>
      </c>
      <c r="D227" t="s">
        <v>1610</v>
      </c>
      <c r="E227" t="s">
        <v>1609</v>
      </c>
      <c r="F227">
        <v>33</v>
      </c>
      <c r="G227" t="s">
        <v>1597</v>
      </c>
    </row>
    <row r="228" spans="1:7" x14ac:dyDescent="0.55000000000000004">
      <c r="A228" s="1">
        <v>39674</v>
      </c>
      <c r="B228">
        <v>2008</v>
      </c>
      <c r="C228">
        <v>8</v>
      </c>
      <c r="D228" t="s">
        <v>1610</v>
      </c>
      <c r="E228" t="s">
        <v>1609</v>
      </c>
      <c r="F228">
        <v>33</v>
      </c>
      <c r="G228" t="s">
        <v>1598</v>
      </c>
    </row>
    <row r="229" spans="1:7" x14ac:dyDescent="0.55000000000000004">
      <c r="A229" s="1">
        <v>39675</v>
      </c>
      <c r="B229">
        <v>2008</v>
      </c>
      <c r="C229">
        <v>8</v>
      </c>
      <c r="D229" t="s">
        <v>1610</v>
      </c>
      <c r="E229" t="s">
        <v>1609</v>
      </c>
      <c r="F229">
        <v>33</v>
      </c>
      <c r="G229" t="s">
        <v>1599</v>
      </c>
    </row>
    <row r="230" spans="1:7" x14ac:dyDescent="0.55000000000000004">
      <c r="A230" s="1">
        <v>39676</v>
      </c>
      <c r="B230">
        <v>2008</v>
      </c>
      <c r="C230">
        <v>8</v>
      </c>
      <c r="D230" t="s">
        <v>1610</v>
      </c>
      <c r="E230" t="s">
        <v>1609</v>
      </c>
      <c r="F230">
        <v>33</v>
      </c>
      <c r="G230" t="s">
        <v>1600</v>
      </c>
    </row>
    <row r="231" spans="1:7" x14ac:dyDescent="0.55000000000000004">
      <c r="A231" s="1">
        <v>39677</v>
      </c>
      <c r="B231">
        <v>2008</v>
      </c>
      <c r="C231">
        <v>8</v>
      </c>
      <c r="D231" t="s">
        <v>1610</v>
      </c>
      <c r="E231" t="s">
        <v>1609</v>
      </c>
      <c r="F231">
        <v>34</v>
      </c>
      <c r="G231" t="s">
        <v>1601</v>
      </c>
    </row>
    <row r="232" spans="1:7" x14ac:dyDescent="0.55000000000000004">
      <c r="A232" s="1">
        <v>39678</v>
      </c>
      <c r="B232">
        <v>2008</v>
      </c>
      <c r="C232">
        <v>8</v>
      </c>
      <c r="D232" t="s">
        <v>1610</v>
      </c>
      <c r="E232" t="s">
        <v>1609</v>
      </c>
      <c r="F232">
        <v>34</v>
      </c>
      <c r="G232" t="s">
        <v>1602</v>
      </c>
    </row>
    <row r="233" spans="1:7" x14ac:dyDescent="0.55000000000000004">
      <c r="A233" s="1">
        <v>39679</v>
      </c>
      <c r="B233">
        <v>2008</v>
      </c>
      <c r="C233">
        <v>8</v>
      </c>
      <c r="D233" t="s">
        <v>1610</v>
      </c>
      <c r="E233" t="s">
        <v>1609</v>
      </c>
      <c r="F233">
        <v>34</v>
      </c>
      <c r="G233" t="s">
        <v>1596</v>
      </c>
    </row>
    <row r="234" spans="1:7" x14ac:dyDescent="0.55000000000000004">
      <c r="A234" s="1">
        <v>39680</v>
      </c>
      <c r="B234">
        <v>2008</v>
      </c>
      <c r="C234">
        <v>8</v>
      </c>
      <c r="D234" t="s">
        <v>1610</v>
      </c>
      <c r="E234" t="s">
        <v>1609</v>
      </c>
      <c r="F234">
        <v>34</v>
      </c>
      <c r="G234" t="s">
        <v>1597</v>
      </c>
    </row>
    <row r="235" spans="1:7" x14ac:dyDescent="0.55000000000000004">
      <c r="A235" s="1">
        <v>39681</v>
      </c>
      <c r="B235">
        <v>2008</v>
      </c>
      <c r="C235">
        <v>8</v>
      </c>
      <c r="D235" t="s">
        <v>1610</v>
      </c>
      <c r="E235" t="s">
        <v>1609</v>
      </c>
      <c r="F235">
        <v>34</v>
      </c>
      <c r="G235" t="s">
        <v>1598</v>
      </c>
    </row>
    <row r="236" spans="1:7" x14ac:dyDescent="0.55000000000000004">
      <c r="A236" s="1">
        <v>39682</v>
      </c>
      <c r="B236">
        <v>2008</v>
      </c>
      <c r="C236">
        <v>8</v>
      </c>
      <c r="D236" t="s">
        <v>1610</v>
      </c>
      <c r="E236" t="s">
        <v>1609</v>
      </c>
      <c r="F236">
        <v>34</v>
      </c>
      <c r="G236" t="s">
        <v>1599</v>
      </c>
    </row>
    <row r="237" spans="1:7" x14ac:dyDescent="0.55000000000000004">
      <c r="A237" s="1">
        <v>39683</v>
      </c>
      <c r="B237">
        <v>2008</v>
      </c>
      <c r="C237">
        <v>8</v>
      </c>
      <c r="D237" t="s">
        <v>1610</v>
      </c>
      <c r="E237" t="s">
        <v>1609</v>
      </c>
      <c r="F237">
        <v>34</v>
      </c>
      <c r="G237" t="s">
        <v>1600</v>
      </c>
    </row>
    <row r="238" spans="1:7" x14ac:dyDescent="0.55000000000000004">
      <c r="A238" s="1">
        <v>39684</v>
      </c>
      <c r="B238">
        <v>2008</v>
      </c>
      <c r="C238">
        <v>8</v>
      </c>
      <c r="D238" t="s">
        <v>1610</v>
      </c>
      <c r="E238" t="s">
        <v>1609</v>
      </c>
      <c r="F238">
        <v>35</v>
      </c>
      <c r="G238" t="s">
        <v>1601</v>
      </c>
    </row>
    <row r="239" spans="1:7" x14ac:dyDescent="0.55000000000000004">
      <c r="A239" s="1">
        <v>39685</v>
      </c>
      <c r="B239">
        <v>2008</v>
      </c>
      <c r="C239">
        <v>8</v>
      </c>
      <c r="D239" t="s">
        <v>1610</v>
      </c>
      <c r="E239" t="s">
        <v>1609</v>
      </c>
      <c r="F239">
        <v>35</v>
      </c>
      <c r="G239" t="s">
        <v>1602</v>
      </c>
    </row>
    <row r="240" spans="1:7" x14ac:dyDescent="0.55000000000000004">
      <c r="A240" s="1">
        <v>39686</v>
      </c>
      <c r="B240">
        <v>2008</v>
      </c>
      <c r="C240">
        <v>8</v>
      </c>
      <c r="D240" t="s">
        <v>1610</v>
      </c>
      <c r="E240" t="s">
        <v>1609</v>
      </c>
      <c r="F240">
        <v>35</v>
      </c>
      <c r="G240" t="s">
        <v>1596</v>
      </c>
    </row>
    <row r="241" spans="1:7" x14ac:dyDescent="0.55000000000000004">
      <c r="A241" s="1">
        <v>39687</v>
      </c>
      <c r="B241">
        <v>2008</v>
      </c>
      <c r="C241">
        <v>8</v>
      </c>
      <c r="D241" t="s">
        <v>1610</v>
      </c>
      <c r="E241" t="s">
        <v>1609</v>
      </c>
      <c r="F241">
        <v>35</v>
      </c>
      <c r="G241" t="s">
        <v>1597</v>
      </c>
    </row>
    <row r="242" spans="1:7" x14ac:dyDescent="0.55000000000000004">
      <c r="A242" s="1">
        <v>39688</v>
      </c>
      <c r="B242">
        <v>2008</v>
      </c>
      <c r="C242">
        <v>8</v>
      </c>
      <c r="D242" t="s">
        <v>1610</v>
      </c>
      <c r="E242" t="s">
        <v>1609</v>
      </c>
      <c r="F242">
        <v>35</v>
      </c>
      <c r="G242" t="s">
        <v>1598</v>
      </c>
    </row>
    <row r="243" spans="1:7" x14ac:dyDescent="0.55000000000000004">
      <c r="A243" s="1">
        <v>39689</v>
      </c>
      <c r="B243">
        <v>2008</v>
      </c>
      <c r="C243">
        <v>8</v>
      </c>
      <c r="D243" t="s">
        <v>1610</v>
      </c>
      <c r="E243" t="s">
        <v>1609</v>
      </c>
      <c r="F243">
        <v>35</v>
      </c>
      <c r="G243" t="s">
        <v>1599</v>
      </c>
    </row>
    <row r="244" spans="1:7" x14ac:dyDescent="0.55000000000000004">
      <c r="A244" s="1">
        <v>39690</v>
      </c>
      <c r="B244">
        <v>2008</v>
      </c>
      <c r="C244">
        <v>8</v>
      </c>
      <c r="D244" t="s">
        <v>1610</v>
      </c>
      <c r="E244" t="s">
        <v>1609</v>
      </c>
      <c r="F244">
        <v>35</v>
      </c>
      <c r="G244" t="s">
        <v>1600</v>
      </c>
    </row>
    <row r="245" spans="1:7" x14ac:dyDescent="0.55000000000000004">
      <c r="A245" s="1">
        <v>39691</v>
      </c>
      <c r="B245">
        <v>2008</v>
      </c>
      <c r="C245">
        <v>8</v>
      </c>
      <c r="D245" t="s">
        <v>1610</v>
      </c>
      <c r="E245" t="s">
        <v>1609</v>
      </c>
      <c r="F245">
        <v>36</v>
      </c>
      <c r="G245" t="s">
        <v>1601</v>
      </c>
    </row>
    <row r="246" spans="1:7" x14ac:dyDescent="0.55000000000000004">
      <c r="A246" s="1">
        <v>39692</v>
      </c>
      <c r="B246">
        <v>2008</v>
      </c>
      <c r="C246">
        <v>9</v>
      </c>
      <c r="D246" t="s">
        <v>1611</v>
      </c>
      <c r="E246" t="s">
        <v>1609</v>
      </c>
      <c r="F246">
        <v>36</v>
      </c>
      <c r="G246" t="s">
        <v>1602</v>
      </c>
    </row>
    <row r="247" spans="1:7" x14ac:dyDescent="0.55000000000000004">
      <c r="A247" s="1">
        <v>39693</v>
      </c>
      <c r="B247">
        <v>2008</v>
      </c>
      <c r="C247">
        <v>9</v>
      </c>
      <c r="D247" t="s">
        <v>1611</v>
      </c>
      <c r="E247" t="s">
        <v>1609</v>
      </c>
      <c r="F247">
        <v>36</v>
      </c>
      <c r="G247" t="s">
        <v>1596</v>
      </c>
    </row>
    <row r="248" spans="1:7" x14ac:dyDescent="0.55000000000000004">
      <c r="A248" s="1">
        <v>39694</v>
      </c>
      <c r="B248">
        <v>2008</v>
      </c>
      <c r="C248">
        <v>9</v>
      </c>
      <c r="D248" t="s">
        <v>1611</v>
      </c>
      <c r="E248" t="s">
        <v>1609</v>
      </c>
      <c r="F248">
        <v>36</v>
      </c>
      <c r="G248" t="s">
        <v>1597</v>
      </c>
    </row>
    <row r="249" spans="1:7" x14ac:dyDescent="0.55000000000000004">
      <c r="A249" s="1">
        <v>39695</v>
      </c>
      <c r="B249">
        <v>2008</v>
      </c>
      <c r="C249">
        <v>9</v>
      </c>
      <c r="D249" t="s">
        <v>1611</v>
      </c>
      <c r="E249" t="s">
        <v>1609</v>
      </c>
      <c r="F249">
        <v>36</v>
      </c>
      <c r="G249" t="s">
        <v>1598</v>
      </c>
    </row>
    <row r="250" spans="1:7" x14ac:dyDescent="0.55000000000000004">
      <c r="A250" s="1">
        <v>39696</v>
      </c>
      <c r="B250">
        <v>2008</v>
      </c>
      <c r="C250">
        <v>9</v>
      </c>
      <c r="D250" t="s">
        <v>1611</v>
      </c>
      <c r="E250" t="s">
        <v>1609</v>
      </c>
      <c r="F250">
        <v>36</v>
      </c>
      <c r="G250" t="s">
        <v>1599</v>
      </c>
    </row>
    <row r="251" spans="1:7" x14ac:dyDescent="0.55000000000000004">
      <c r="A251" s="1">
        <v>39697</v>
      </c>
      <c r="B251">
        <v>2008</v>
      </c>
      <c r="C251">
        <v>9</v>
      </c>
      <c r="D251" t="s">
        <v>1611</v>
      </c>
      <c r="E251" t="s">
        <v>1609</v>
      </c>
      <c r="F251">
        <v>36</v>
      </c>
      <c r="G251" t="s">
        <v>1600</v>
      </c>
    </row>
    <row r="252" spans="1:7" x14ac:dyDescent="0.55000000000000004">
      <c r="A252" s="1">
        <v>39698</v>
      </c>
      <c r="B252">
        <v>2008</v>
      </c>
      <c r="C252">
        <v>9</v>
      </c>
      <c r="D252" t="s">
        <v>1611</v>
      </c>
      <c r="E252" t="s">
        <v>1609</v>
      </c>
      <c r="F252">
        <v>37</v>
      </c>
      <c r="G252" t="s">
        <v>1601</v>
      </c>
    </row>
    <row r="253" spans="1:7" x14ac:dyDescent="0.55000000000000004">
      <c r="A253" s="1">
        <v>39699</v>
      </c>
      <c r="B253">
        <v>2008</v>
      </c>
      <c r="C253">
        <v>9</v>
      </c>
      <c r="D253" t="s">
        <v>1611</v>
      </c>
      <c r="E253" t="s">
        <v>1609</v>
      </c>
      <c r="F253">
        <v>37</v>
      </c>
      <c r="G253" t="s">
        <v>1602</v>
      </c>
    </row>
    <row r="254" spans="1:7" x14ac:dyDescent="0.55000000000000004">
      <c r="A254" s="1">
        <v>39700</v>
      </c>
      <c r="B254">
        <v>2008</v>
      </c>
      <c r="C254">
        <v>9</v>
      </c>
      <c r="D254" t="s">
        <v>1611</v>
      </c>
      <c r="E254" t="s">
        <v>1609</v>
      </c>
      <c r="F254">
        <v>37</v>
      </c>
      <c r="G254" t="s">
        <v>1596</v>
      </c>
    </row>
    <row r="255" spans="1:7" x14ac:dyDescent="0.55000000000000004">
      <c r="A255" s="1">
        <v>39701</v>
      </c>
      <c r="B255">
        <v>2008</v>
      </c>
      <c r="C255">
        <v>9</v>
      </c>
      <c r="D255" t="s">
        <v>1611</v>
      </c>
      <c r="E255" t="s">
        <v>1609</v>
      </c>
      <c r="F255">
        <v>37</v>
      </c>
      <c r="G255" t="s">
        <v>1597</v>
      </c>
    </row>
    <row r="256" spans="1:7" x14ac:dyDescent="0.55000000000000004">
      <c r="A256" s="1">
        <v>39702</v>
      </c>
      <c r="B256">
        <v>2008</v>
      </c>
      <c r="C256">
        <v>9</v>
      </c>
      <c r="D256" t="s">
        <v>1611</v>
      </c>
      <c r="E256" t="s">
        <v>1609</v>
      </c>
      <c r="F256">
        <v>37</v>
      </c>
      <c r="G256" t="s">
        <v>1598</v>
      </c>
    </row>
    <row r="257" spans="1:7" x14ac:dyDescent="0.55000000000000004">
      <c r="A257" s="1">
        <v>39703</v>
      </c>
      <c r="B257">
        <v>2008</v>
      </c>
      <c r="C257">
        <v>9</v>
      </c>
      <c r="D257" t="s">
        <v>1611</v>
      </c>
      <c r="E257" t="s">
        <v>1609</v>
      </c>
      <c r="F257">
        <v>37</v>
      </c>
      <c r="G257" t="s">
        <v>1599</v>
      </c>
    </row>
    <row r="258" spans="1:7" x14ac:dyDescent="0.55000000000000004">
      <c r="A258" s="1">
        <v>39704</v>
      </c>
      <c r="B258">
        <v>2008</v>
      </c>
      <c r="C258">
        <v>9</v>
      </c>
      <c r="D258" t="s">
        <v>1611</v>
      </c>
      <c r="E258" t="s">
        <v>1609</v>
      </c>
      <c r="F258">
        <v>37</v>
      </c>
      <c r="G258" t="s">
        <v>1600</v>
      </c>
    </row>
    <row r="259" spans="1:7" x14ac:dyDescent="0.55000000000000004">
      <c r="A259" s="1">
        <v>39705</v>
      </c>
      <c r="B259">
        <v>2008</v>
      </c>
      <c r="C259">
        <v>9</v>
      </c>
      <c r="D259" t="s">
        <v>1611</v>
      </c>
      <c r="E259" t="s">
        <v>1609</v>
      </c>
      <c r="F259">
        <v>38</v>
      </c>
      <c r="G259" t="s">
        <v>1601</v>
      </c>
    </row>
    <row r="260" spans="1:7" x14ac:dyDescent="0.55000000000000004">
      <c r="A260" s="1">
        <v>39706</v>
      </c>
      <c r="B260">
        <v>2008</v>
      </c>
      <c r="C260">
        <v>9</v>
      </c>
      <c r="D260" t="s">
        <v>1611</v>
      </c>
      <c r="E260" t="s">
        <v>1609</v>
      </c>
      <c r="F260">
        <v>38</v>
      </c>
      <c r="G260" t="s">
        <v>1602</v>
      </c>
    </row>
    <row r="261" spans="1:7" x14ac:dyDescent="0.55000000000000004">
      <c r="A261" s="1">
        <v>39707</v>
      </c>
      <c r="B261">
        <v>2008</v>
      </c>
      <c r="C261">
        <v>9</v>
      </c>
      <c r="D261" t="s">
        <v>1611</v>
      </c>
      <c r="E261" t="s">
        <v>1609</v>
      </c>
      <c r="F261">
        <v>38</v>
      </c>
      <c r="G261" t="s">
        <v>1596</v>
      </c>
    </row>
    <row r="262" spans="1:7" x14ac:dyDescent="0.55000000000000004">
      <c r="A262" s="1">
        <v>39708</v>
      </c>
      <c r="B262">
        <v>2008</v>
      </c>
      <c r="C262">
        <v>9</v>
      </c>
      <c r="D262" t="s">
        <v>1611</v>
      </c>
      <c r="E262" t="s">
        <v>1609</v>
      </c>
      <c r="F262">
        <v>38</v>
      </c>
      <c r="G262" t="s">
        <v>1597</v>
      </c>
    </row>
    <row r="263" spans="1:7" x14ac:dyDescent="0.55000000000000004">
      <c r="A263" s="1">
        <v>39709</v>
      </c>
      <c r="B263">
        <v>2008</v>
      </c>
      <c r="C263">
        <v>9</v>
      </c>
      <c r="D263" t="s">
        <v>1611</v>
      </c>
      <c r="E263" t="s">
        <v>1609</v>
      </c>
      <c r="F263">
        <v>38</v>
      </c>
      <c r="G263" t="s">
        <v>1598</v>
      </c>
    </row>
    <row r="264" spans="1:7" x14ac:dyDescent="0.55000000000000004">
      <c r="A264" s="1">
        <v>39710</v>
      </c>
      <c r="B264">
        <v>2008</v>
      </c>
      <c r="C264">
        <v>9</v>
      </c>
      <c r="D264" t="s">
        <v>1611</v>
      </c>
      <c r="E264" t="s">
        <v>1609</v>
      </c>
      <c r="F264">
        <v>38</v>
      </c>
      <c r="G264" t="s">
        <v>1599</v>
      </c>
    </row>
    <row r="265" spans="1:7" x14ac:dyDescent="0.55000000000000004">
      <c r="A265" s="1">
        <v>39711</v>
      </c>
      <c r="B265">
        <v>2008</v>
      </c>
      <c r="C265">
        <v>9</v>
      </c>
      <c r="D265" t="s">
        <v>1611</v>
      </c>
      <c r="E265" t="s">
        <v>1609</v>
      </c>
      <c r="F265">
        <v>38</v>
      </c>
      <c r="G265" t="s">
        <v>1600</v>
      </c>
    </row>
    <row r="266" spans="1:7" x14ac:dyDescent="0.55000000000000004">
      <c r="A266" s="1">
        <v>39712</v>
      </c>
      <c r="B266">
        <v>2008</v>
      </c>
      <c r="C266">
        <v>9</v>
      </c>
      <c r="D266" t="s">
        <v>1611</v>
      </c>
      <c r="E266" t="s">
        <v>1609</v>
      </c>
      <c r="F266">
        <v>39</v>
      </c>
      <c r="G266" t="s">
        <v>1601</v>
      </c>
    </row>
    <row r="267" spans="1:7" x14ac:dyDescent="0.55000000000000004">
      <c r="A267" s="1">
        <v>39713</v>
      </c>
      <c r="B267">
        <v>2008</v>
      </c>
      <c r="C267">
        <v>9</v>
      </c>
      <c r="D267" t="s">
        <v>1611</v>
      </c>
      <c r="E267" t="s">
        <v>1609</v>
      </c>
      <c r="F267">
        <v>39</v>
      </c>
      <c r="G267" t="s">
        <v>1602</v>
      </c>
    </row>
    <row r="268" spans="1:7" x14ac:dyDescent="0.55000000000000004">
      <c r="A268" s="1">
        <v>39714</v>
      </c>
      <c r="B268">
        <v>2008</v>
      </c>
      <c r="C268">
        <v>9</v>
      </c>
      <c r="D268" t="s">
        <v>1611</v>
      </c>
      <c r="E268" t="s">
        <v>1609</v>
      </c>
      <c r="F268">
        <v>39</v>
      </c>
      <c r="G268" t="s">
        <v>1596</v>
      </c>
    </row>
    <row r="269" spans="1:7" x14ac:dyDescent="0.55000000000000004">
      <c r="A269" s="1">
        <v>39715</v>
      </c>
      <c r="B269">
        <v>2008</v>
      </c>
      <c r="C269">
        <v>9</v>
      </c>
      <c r="D269" t="s">
        <v>1611</v>
      </c>
      <c r="E269" t="s">
        <v>1609</v>
      </c>
      <c r="F269">
        <v>39</v>
      </c>
      <c r="G269" t="s">
        <v>1597</v>
      </c>
    </row>
    <row r="270" spans="1:7" x14ac:dyDescent="0.55000000000000004">
      <c r="A270" s="1">
        <v>39716</v>
      </c>
      <c r="B270">
        <v>2008</v>
      </c>
      <c r="C270">
        <v>9</v>
      </c>
      <c r="D270" t="s">
        <v>1611</v>
      </c>
      <c r="E270" t="s">
        <v>1609</v>
      </c>
      <c r="F270">
        <v>39</v>
      </c>
      <c r="G270" t="s">
        <v>1598</v>
      </c>
    </row>
    <row r="271" spans="1:7" x14ac:dyDescent="0.55000000000000004">
      <c r="A271" s="1">
        <v>39717</v>
      </c>
      <c r="B271">
        <v>2008</v>
      </c>
      <c r="C271">
        <v>9</v>
      </c>
      <c r="D271" t="s">
        <v>1611</v>
      </c>
      <c r="E271" t="s">
        <v>1609</v>
      </c>
      <c r="F271">
        <v>39</v>
      </c>
      <c r="G271" t="s">
        <v>1599</v>
      </c>
    </row>
    <row r="272" spans="1:7" x14ac:dyDescent="0.55000000000000004">
      <c r="A272" s="1">
        <v>39718</v>
      </c>
      <c r="B272">
        <v>2008</v>
      </c>
      <c r="C272">
        <v>9</v>
      </c>
      <c r="D272" t="s">
        <v>1611</v>
      </c>
      <c r="E272" t="s">
        <v>1609</v>
      </c>
      <c r="F272">
        <v>39</v>
      </c>
      <c r="G272" t="s">
        <v>1600</v>
      </c>
    </row>
    <row r="273" spans="1:7" x14ac:dyDescent="0.55000000000000004">
      <c r="A273" s="1">
        <v>39719</v>
      </c>
      <c r="B273">
        <v>2008</v>
      </c>
      <c r="C273">
        <v>9</v>
      </c>
      <c r="D273" t="s">
        <v>1611</v>
      </c>
      <c r="E273" t="s">
        <v>1609</v>
      </c>
      <c r="F273">
        <v>40</v>
      </c>
      <c r="G273" t="s">
        <v>1601</v>
      </c>
    </row>
    <row r="274" spans="1:7" x14ac:dyDescent="0.55000000000000004">
      <c r="A274" s="1">
        <v>39720</v>
      </c>
      <c r="B274">
        <v>2008</v>
      </c>
      <c r="C274">
        <v>9</v>
      </c>
      <c r="D274" t="s">
        <v>1611</v>
      </c>
      <c r="E274" t="s">
        <v>1609</v>
      </c>
      <c r="F274">
        <v>40</v>
      </c>
      <c r="G274" t="s">
        <v>1602</v>
      </c>
    </row>
    <row r="275" spans="1:7" x14ac:dyDescent="0.55000000000000004">
      <c r="A275" s="1">
        <v>39721</v>
      </c>
      <c r="B275">
        <v>2008</v>
      </c>
      <c r="C275">
        <v>9</v>
      </c>
      <c r="D275" t="s">
        <v>1611</v>
      </c>
      <c r="E275" t="s">
        <v>1609</v>
      </c>
      <c r="F275">
        <v>40</v>
      </c>
      <c r="G275" t="s">
        <v>1596</v>
      </c>
    </row>
    <row r="276" spans="1:7" x14ac:dyDescent="0.55000000000000004">
      <c r="A276" s="1">
        <v>39722</v>
      </c>
      <c r="B276">
        <v>2008</v>
      </c>
      <c r="C276">
        <v>10</v>
      </c>
      <c r="D276" t="s">
        <v>1612</v>
      </c>
      <c r="E276" t="s">
        <v>1613</v>
      </c>
      <c r="F276">
        <v>40</v>
      </c>
      <c r="G276" t="s">
        <v>1597</v>
      </c>
    </row>
    <row r="277" spans="1:7" x14ac:dyDescent="0.55000000000000004">
      <c r="A277" s="1">
        <v>39723</v>
      </c>
      <c r="B277">
        <v>2008</v>
      </c>
      <c r="C277">
        <v>10</v>
      </c>
      <c r="D277" t="s">
        <v>1612</v>
      </c>
      <c r="E277" t="s">
        <v>1613</v>
      </c>
      <c r="F277">
        <v>40</v>
      </c>
      <c r="G277" t="s">
        <v>1598</v>
      </c>
    </row>
    <row r="278" spans="1:7" x14ac:dyDescent="0.55000000000000004">
      <c r="A278" s="1">
        <v>39724</v>
      </c>
      <c r="B278">
        <v>2008</v>
      </c>
      <c r="C278">
        <v>10</v>
      </c>
      <c r="D278" t="s">
        <v>1612</v>
      </c>
      <c r="E278" t="s">
        <v>1613</v>
      </c>
      <c r="F278">
        <v>40</v>
      </c>
      <c r="G278" t="s">
        <v>1599</v>
      </c>
    </row>
    <row r="279" spans="1:7" x14ac:dyDescent="0.55000000000000004">
      <c r="A279" s="1">
        <v>39725</v>
      </c>
      <c r="B279">
        <v>2008</v>
      </c>
      <c r="C279">
        <v>10</v>
      </c>
      <c r="D279" t="s">
        <v>1612</v>
      </c>
      <c r="E279" t="s">
        <v>1613</v>
      </c>
      <c r="F279">
        <v>40</v>
      </c>
      <c r="G279" t="s">
        <v>1600</v>
      </c>
    </row>
    <row r="280" spans="1:7" x14ac:dyDescent="0.55000000000000004">
      <c r="A280" s="1">
        <v>39726</v>
      </c>
      <c r="B280">
        <v>2008</v>
      </c>
      <c r="C280">
        <v>10</v>
      </c>
      <c r="D280" t="s">
        <v>1612</v>
      </c>
      <c r="E280" t="s">
        <v>1613</v>
      </c>
      <c r="F280">
        <v>41</v>
      </c>
      <c r="G280" t="s">
        <v>1601</v>
      </c>
    </row>
    <row r="281" spans="1:7" x14ac:dyDescent="0.55000000000000004">
      <c r="A281" s="1">
        <v>39727</v>
      </c>
      <c r="B281">
        <v>2008</v>
      </c>
      <c r="C281">
        <v>10</v>
      </c>
      <c r="D281" t="s">
        <v>1612</v>
      </c>
      <c r="E281" t="s">
        <v>1613</v>
      </c>
      <c r="F281">
        <v>41</v>
      </c>
      <c r="G281" t="s">
        <v>1602</v>
      </c>
    </row>
    <row r="282" spans="1:7" x14ac:dyDescent="0.55000000000000004">
      <c r="A282" s="1">
        <v>39728</v>
      </c>
      <c r="B282">
        <v>2008</v>
      </c>
      <c r="C282">
        <v>10</v>
      </c>
      <c r="D282" t="s">
        <v>1612</v>
      </c>
      <c r="E282" t="s">
        <v>1613</v>
      </c>
      <c r="F282">
        <v>41</v>
      </c>
      <c r="G282" t="s">
        <v>1596</v>
      </c>
    </row>
    <row r="283" spans="1:7" x14ac:dyDescent="0.55000000000000004">
      <c r="A283" s="1">
        <v>39729</v>
      </c>
      <c r="B283">
        <v>2008</v>
      </c>
      <c r="C283">
        <v>10</v>
      </c>
      <c r="D283" t="s">
        <v>1612</v>
      </c>
      <c r="E283" t="s">
        <v>1613</v>
      </c>
      <c r="F283">
        <v>41</v>
      </c>
      <c r="G283" t="s">
        <v>1597</v>
      </c>
    </row>
    <row r="284" spans="1:7" x14ac:dyDescent="0.55000000000000004">
      <c r="A284" s="1">
        <v>39730</v>
      </c>
      <c r="B284">
        <v>2008</v>
      </c>
      <c r="C284">
        <v>10</v>
      </c>
      <c r="D284" t="s">
        <v>1612</v>
      </c>
      <c r="E284" t="s">
        <v>1613</v>
      </c>
      <c r="F284">
        <v>41</v>
      </c>
      <c r="G284" t="s">
        <v>1598</v>
      </c>
    </row>
    <row r="285" spans="1:7" x14ac:dyDescent="0.55000000000000004">
      <c r="A285" s="1">
        <v>39731</v>
      </c>
      <c r="B285">
        <v>2008</v>
      </c>
      <c r="C285">
        <v>10</v>
      </c>
      <c r="D285" t="s">
        <v>1612</v>
      </c>
      <c r="E285" t="s">
        <v>1613</v>
      </c>
      <c r="F285">
        <v>41</v>
      </c>
      <c r="G285" t="s">
        <v>1599</v>
      </c>
    </row>
    <row r="286" spans="1:7" x14ac:dyDescent="0.55000000000000004">
      <c r="A286" s="1">
        <v>39732</v>
      </c>
      <c r="B286">
        <v>2008</v>
      </c>
      <c r="C286">
        <v>10</v>
      </c>
      <c r="D286" t="s">
        <v>1612</v>
      </c>
      <c r="E286" t="s">
        <v>1613</v>
      </c>
      <c r="F286">
        <v>41</v>
      </c>
      <c r="G286" t="s">
        <v>1600</v>
      </c>
    </row>
    <row r="287" spans="1:7" x14ac:dyDescent="0.55000000000000004">
      <c r="A287" s="1">
        <v>39733</v>
      </c>
      <c r="B287">
        <v>2008</v>
      </c>
      <c r="C287">
        <v>10</v>
      </c>
      <c r="D287" t="s">
        <v>1612</v>
      </c>
      <c r="E287" t="s">
        <v>1613</v>
      </c>
      <c r="F287">
        <v>42</v>
      </c>
      <c r="G287" t="s">
        <v>1601</v>
      </c>
    </row>
    <row r="288" spans="1:7" x14ac:dyDescent="0.55000000000000004">
      <c r="A288" s="1">
        <v>39734</v>
      </c>
      <c r="B288">
        <v>2008</v>
      </c>
      <c r="C288">
        <v>10</v>
      </c>
      <c r="D288" t="s">
        <v>1612</v>
      </c>
      <c r="E288" t="s">
        <v>1613</v>
      </c>
      <c r="F288">
        <v>42</v>
      </c>
      <c r="G288" t="s">
        <v>1602</v>
      </c>
    </row>
    <row r="289" spans="1:7" x14ac:dyDescent="0.55000000000000004">
      <c r="A289" s="1">
        <v>39735</v>
      </c>
      <c r="B289">
        <v>2008</v>
      </c>
      <c r="C289">
        <v>10</v>
      </c>
      <c r="D289" t="s">
        <v>1612</v>
      </c>
      <c r="E289" t="s">
        <v>1613</v>
      </c>
      <c r="F289">
        <v>42</v>
      </c>
      <c r="G289" t="s">
        <v>1596</v>
      </c>
    </row>
    <row r="290" spans="1:7" x14ac:dyDescent="0.55000000000000004">
      <c r="A290" s="1">
        <v>39736</v>
      </c>
      <c r="B290">
        <v>2008</v>
      </c>
      <c r="C290">
        <v>10</v>
      </c>
      <c r="D290" t="s">
        <v>1612</v>
      </c>
      <c r="E290" t="s">
        <v>1613</v>
      </c>
      <c r="F290">
        <v>42</v>
      </c>
      <c r="G290" t="s">
        <v>1597</v>
      </c>
    </row>
    <row r="291" spans="1:7" x14ac:dyDescent="0.55000000000000004">
      <c r="A291" s="1">
        <v>39737</v>
      </c>
      <c r="B291">
        <v>2008</v>
      </c>
      <c r="C291">
        <v>10</v>
      </c>
      <c r="D291" t="s">
        <v>1612</v>
      </c>
      <c r="E291" t="s">
        <v>1613</v>
      </c>
      <c r="F291">
        <v>42</v>
      </c>
      <c r="G291" t="s">
        <v>1598</v>
      </c>
    </row>
    <row r="292" spans="1:7" x14ac:dyDescent="0.55000000000000004">
      <c r="A292" s="1">
        <v>39738</v>
      </c>
      <c r="B292">
        <v>2008</v>
      </c>
      <c r="C292">
        <v>10</v>
      </c>
      <c r="D292" t="s">
        <v>1612</v>
      </c>
      <c r="E292" t="s">
        <v>1613</v>
      </c>
      <c r="F292">
        <v>42</v>
      </c>
      <c r="G292" t="s">
        <v>1599</v>
      </c>
    </row>
    <row r="293" spans="1:7" x14ac:dyDescent="0.55000000000000004">
      <c r="A293" s="1">
        <v>39739</v>
      </c>
      <c r="B293">
        <v>2008</v>
      </c>
      <c r="C293">
        <v>10</v>
      </c>
      <c r="D293" t="s">
        <v>1612</v>
      </c>
      <c r="E293" t="s">
        <v>1613</v>
      </c>
      <c r="F293">
        <v>42</v>
      </c>
      <c r="G293" t="s">
        <v>1600</v>
      </c>
    </row>
    <row r="294" spans="1:7" x14ac:dyDescent="0.55000000000000004">
      <c r="A294" s="1">
        <v>39740</v>
      </c>
      <c r="B294">
        <v>2008</v>
      </c>
      <c r="C294">
        <v>10</v>
      </c>
      <c r="D294" t="s">
        <v>1612</v>
      </c>
      <c r="E294" t="s">
        <v>1613</v>
      </c>
      <c r="F294">
        <v>43</v>
      </c>
      <c r="G294" t="s">
        <v>1601</v>
      </c>
    </row>
    <row r="295" spans="1:7" x14ac:dyDescent="0.55000000000000004">
      <c r="A295" s="1">
        <v>39741</v>
      </c>
      <c r="B295">
        <v>2008</v>
      </c>
      <c r="C295">
        <v>10</v>
      </c>
      <c r="D295" t="s">
        <v>1612</v>
      </c>
      <c r="E295" t="s">
        <v>1613</v>
      </c>
      <c r="F295">
        <v>43</v>
      </c>
      <c r="G295" t="s">
        <v>1602</v>
      </c>
    </row>
    <row r="296" spans="1:7" x14ac:dyDescent="0.55000000000000004">
      <c r="A296" s="1">
        <v>39742</v>
      </c>
      <c r="B296">
        <v>2008</v>
      </c>
      <c r="C296">
        <v>10</v>
      </c>
      <c r="D296" t="s">
        <v>1612</v>
      </c>
      <c r="E296" t="s">
        <v>1613</v>
      </c>
      <c r="F296">
        <v>43</v>
      </c>
      <c r="G296" t="s">
        <v>1596</v>
      </c>
    </row>
    <row r="297" spans="1:7" x14ac:dyDescent="0.55000000000000004">
      <c r="A297" s="1">
        <v>39743</v>
      </c>
      <c r="B297">
        <v>2008</v>
      </c>
      <c r="C297">
        <v>10</v>
      </c>
      <c r="D297" t="s">
        <v>1612</v>
      </c>
      <c r="E297" t="s">
        <v>1613</v>
      </c>
      <c r="F297">
        <v>43</v>
      </c>
      <c r="G297" t="s">
        <v>1597</v>
      </c>
    </row>
    <row r="298" spans="1:7" x14ac:dyDescent="0.55000000000000004">
      <c r="A298" s="1">
        <v>39744</v>
      </c>
      <c r="B298">
        <v>2008</v>
      </c>
      <c r="C298">
        <v>10</v>
      </c>
      <c r="D298" t="s">
        <v>1612</v>
      </c>
      <c r="E298" t="s">
        <v>1613</v>
      </c>
      <c r="F298">
        <v>43</v>
      </c>
      <c r="G298" t="s">
        <v>1598</v>
      </c>
    </row>
    <row r="299" spans="1:7" x14ac:dyDescent="0.55000000000000004">
      <c r="A299" s="1">
        <v>39745</v>
      </c>
      <c r="B299">
        <v>2008</v>
      </c>
      <c r="C299">
        <v>10</v>
      </c>
      <c r="D299" t="s">
        <v>1612</v>
      </c>
      <c r="E299" t="s">
        <v>1613</v>
      </c>
      <c r="F299">
        <v>43</v>
      </c>
      <c r="G299" t="s">
        <v>1599</v>
      </c>
    </row>
    <row r="300" spans="1:7" x14ac:dyDescent="0.55000000000000004">
      <c r="A300" s="1">
        <v>39746</v>
      </c>
      <c r="B300">
        <v>2008</v>
      </c>
      <c r="C300">
        <v>10</v>
      </c>
      <c r="D300" t="s">
        <v>1612</v>
      </c>
      <c r="E300" t="s">
        <v>1613</v>
      </c>
      <c r="F300">
        <v>43</v>
      </c>
      <c r="G300" t="s">
        <v>1600</v>
      </c>
    </row>
    <row r="301" spans="1:7" x14ac:dyDescent="0.55000000000000004">
      <c r="A301" s="1">
        <v>39747</v>
      </c>
      <c r="B301">
        <v>2008</v>
      </c>
      <c r="C301">
        <v>10</v>
      </c>
      <c r="D301" t="s">
        <v>1612</v>
      </c>
      <c r="E301" t="s">
        <v>1613</v>
      </c>
      <c r="F301">
        <v>44</v>
      </c>
      <c r="G301" t="s">
        <v>1601</v>
      </c>
    </row>
    <row r="302" spans="1:7" x14ac:dyDescent="0.55000000000000004">
      <c r="A302" s="1">
        <v>39748</v>
      </c>
      <c r="B302">
        <v>2008</v>
      </c>
      <c r="C302">
        <v>10</v>
      </c>
      <c r="D302" t="s">
        <v>1612</v>
      </c>
      <c r="E302" t="s">
        <v>1613</v>
      </c>
      <c r="F302">
        <v>44</v>
      </c>
      <c r="G302" t="s">
        <v>1602</v>
      </c>
    </row>
    <row r="303" spans="1:7" x14ac:dyDescent="0.55000000000000004">
      <c r="A303" s="1">
        <v>39749</v>
      </c>
      <c r="B303">
        <v>2008</v>
      </c>
      <c r="C303">
        <v>10</v>
      </c>
      <c r="D303" t="s">
        <v>1612</v>
      </c>
      <c r="E303" t="s">
        <v>1613</v>
      </c>
      <c r="F303">
        <v>44</v>
      </c>
      <c r="G303" t="s">
        <v>1596</v>
      </c>
    </row>
    <row r="304" spans="1:7" x14ac:dyDescent="0.55000000000000004">
      <c r="A304" s="1">
        <v>39750</v>
      </c>
      <c r="B304">
        <v>2008</v>
      </c>
      <c r="C304">
        <v>10</v>
      </c>
      <c r="D304" t="s">
        <v>1612</v>
      </c>
      <c r="E304" t="s">
        <v>1613</v>
      </c>
      <c r="F304">
        <v>44</v>
      </c>
      <c r="G304" t="s">
        <v>1597</v>
      </c>
    </row>
    <row r="305" spans="1:7" x14ac:dyDescent="0.55000000000000004">
      <c r="A305" s="1">
        <v>39751</v>
      </c>
      <c r="B305">
        <v>2008</v>
      </c>
      <c r="C305">
        <v>10</v>
      </c>
      <c r="D305" t="s">
        <v>1612</v>
      </c>
      <c r="E305" t="s">
        <v>1613</v>
      </c>
      <c r="F305">
        <v>44</v>
      </c>
      <c r="G305" t="s">
        <v>1598</v>
      </c>
    </row>
    <row r="306" spans="1:7" x14ac:dyDescent="0.55000000000000004">
      <c r="A306" s="1">
        <v>39752</v>
      </c>
      <c r="B306">
        <v>2008</v>
      </c>
      <c r="C306">
        <v>10</v>
      </c>
      <c r="D306" t="s">
        <v>1612</v>
      </c>
      <c r="E306" t="s">
        <v>1613</v>
      </c>
      <c r="F306">
        <v>44</v>
      </c>
      <c r="G306" t="s">
        <v>1599</v>
      </c>
    </row>
    <row r="307" spans="1:7" x14ac:dyDescent="0.55000000000000004">
      <c r="A307" s="1">
        <v>39753</v>
      </c>
      <c r="B307">
        <v>2008</v>
      </c>
      <c r="C307">
        <v>11</v>
      </c>
      <c r="D307" t="s">
        <v>1614</v>
      </c>
      <c r="E307" t="s">
        <v>1613</v>
      </c>
      <c r="F307">
        <v>44</v>
      </c>
      <c r="G307" t="s">
        <v>1600</v>
      </c>
    </row>
    <row r="308" spans="1:7" x14ac:dyDescent="0.55000000000000004">
      <c r="A308" s="1">
        <v>39754</v>
      </c>
      <c r="B308">
        <v>2008</v>
      </c>
      <c r="C308">
        <v>11</v>
      </c>
      <c r="D308" t="s">
        <v>1614</v>
      </c>
      <c r="E308" t="s">
        <v>1613</v>
      </c>
      <c r="F308">
        <v>45</v>
      </c>
      <c r="G308" t="s">
        <v>1601</v>
      </c>
    </row>
    <row r="309" spans="1:7" x14ac:dyDescent="0.55000000000000004">
      <c r="A309" s="1">
        <v>39755</v>
      </c>
      <c r="B309">
        <v>2008</v>
      </c>
      <c r="C309">
        <v>11</v>
      </c>
      <c r="D309" t="s">
        <v>1614</v>
      </c>
      <c r="E309" t="s">
        <v>1613</v>
      </c>
      <c r="F309">
        <v>45</v>
      </c>
      <c r="G309" t="s">
        <v>1602</v>
      </c>
    </row>
    <row r="310" spans="1:7" x14ac:dyDescent="0.55000000000000004">
      <c r="A310" s="1">
        <v>39756</v>
      </c>
      <c r="B310">
        <v>2008</v>
      </c>
      <c r="C310">
        <v>11</v>
      </c>
      <c r="D310" t="s">
        <v>1614</v>
      </c>
      <c r="E310" t="s">
        <v>1613</v>
      </c>
      <c r="F310">
        <v>45</v>
      </c>
      <c r="G310" t="s">
        <v>1596</v>
      </c>
    </row>
    <row r="311" spans="1:7" x14ac:dyDescent="0.55000000000000004">
      <c r="A311" s="1">
        <v>39757</v>
      </c>
      <c r="B311">
        <v>2008</v>
      </c>
      <c r="C311">
        <v>11</v>
      </c>
      <c r="D311" t="s">
        <v>1614</v>
      </c>
      <c r="E311" t="s">
        <v>1613</v>
      </c>
      <c r="F311">
        <v>45</v>
      </c>
      <c r="G311" t="s">
        <v>1597</v>
      </c>
    </row>
    <row r="312" spans="1:7" x14ac:dyDescent="0.55000000000000004">
      <c r="A312" s="1">
        <v>39758</v>
      </c>
      <c r="B312">
        <v>2008</v>
      </c>
      <c r="C312">
        <v>11</v>
      </c>
      <c r="D312" t="s">
        <v>1614</v>
      </c>
      <c r="E312" t="s">
        <v>1613</v>
      </c>
      <c r="F312">
        <v>45</v>
      </c>
      <c r="G312" t="s">
        <v>1598</v>
      </c>
    </row>
    <row r="313" spans="1:7" x14ac:dyDescent="0.55000000000000004">
      <c r="A313" s="1">
        <v>39759</v>
      </c>
      <c r="B313">
        <v>2008</v>
      </c>
      <c r="C313">
        <v>11</v>
      </c>
      <c r="D313" t="s">
        <v>1614</v>
      </c>
      <c r="E313" t="s">
        <v>1613</v>
      </c>
      <c r="F313">
        <v>45</v>
      </c>
      <c r="G313" t="s">
        <v>1599</v>
      </c>
    </row>
    <row r="314" spans="1:7" x14ac:dyDescent="0.55000000000000004">
      <c r="A314" s="1">
        <v>39760</v>
      </c>
      <c r="B314">
        <v>2008</v>
      </c>
      <c r="C314">
        <v>11</v>
      </c>
      <c r="D314" t="s">
        <v>1614</v>
      </c>
      <c r="E314" t="s">
        <v>1613</v>
      </c>
      <c r="F314">
        <v>45</v>
      </c>
      <c r="G314" t="s">
        <v>1600</v>
      </c>
    </row>
    <row r="315" spans="1:7" x14ac:dyDescent="0.55000000000000004">
      <c r="A315" s="1">
        <v>39761</v>
      </c>
      <c r="B315">
        <v>2008</v>
      </c>
      <c r="C315">
        <v>11</v>
      </c>
      <c r="D315" t="s">
        <v>1614</v>
      </c>
      <c r="E315" t="s">
        <v>1613</v>
      </c>
      <c r="F315">
        <v>46</v>
      </c>
      <c r="G315" t="s">
        <v>1601</v>
      </c>
    </row>
    <row r="316" spans="1:7" x14ac:dyDescent="0.55000000000000004">
      <c r="A316" s="1">
        <v>39762</v>
      </c>
      <c r="B316">
        <v>2008</v>
      </c>
      <c r="C316">
        <v>11</v>
      </c>
      <c r="D316" t="s">
        <v>1614</v>
      </c>
      <c r="E316" t="s">
        <v>1613</v>
      </c>
      <c r="F316">
        <v>46</v>
      </c>
      <c r="G316" t="s">
        <v>1602</v>
      </c>
    </row>
    <row r="317" spans="1:7" x14ac:dyDescent="0.55000000000000004">
      <c r="A317" s="1">
        <v>39763</v>
      </c>
      <c r="B317">
        <v>2008</v>
      </c>
      <c r="C317">
        <v>11</v>
      </c>
      <c r="D317" t="s">
        <v>1614</v>
      </c>
      <c r="E317" t="s">
        <v>1613</v>
      </c>
      <c r="F317">
        <v>46</v>
      </c>
      <c r="G317" t="s">
        <v>1596</v>
      </c>
    </row>
    <row r="318" spans="1:7" x14ac:dyDescent="0.55000000000000004">
      <c r="A318" s="1">
        <v>39764</v>
      </c>
      <c r="B318">
        <v>2008</v>
      </c>
      <c r="C318">
        <v>11</v>
      </c>
      <c r="D318" t="s">
        <v>1614</v>
      </c>
      <c r="E318" t="s">
        <v>1613</v>
      </c>
      <c r="F318">
        <v>46</v>
      </c>
      <c r="G318" t="s">
        <v>1597</v>
      </c>
    </row>
    <row r="319" spans="1:7" x14ac:dyDescent="0.55000000000000004">
      <c r="A319" s="1">
        <v>39765</v>
      </c>
      <c r="B319">
        <v>2008</v>
      </c>
      <c r="C319">
        <v>11</v>
      </c>
      <c r="D319" t="s">
        <v>1614</v>
      </c>
      <c r="E319" t="s">
        <v>1613</v>
      </c>
      <c r="F319">
        <v>46</v>
      </c>
      <c r="G319" t="s">
        <v>1598</v>
      </c>
    </row>
    <row r="320" spans="1:7" x14ac:dyDescent="0.55000000000000004">
      <c r="A320" s="1">
        <v>39766</v>
      </c>
      <c r="B320">
        <v>2008</v>
      </c>
      <c r="C320">
        <v>11</v>
      </c>
      <c r="D320" t="s">
        <v>1614</v>
      </c>
      <c r="E320" t="s">
        <v>1613</v>
      </c>
      <c r="F320">
        <v>46</v>
      </c>
      <c r="G320" t="s">
        <v>1599</v>
      </c>
    </row>
    <row r="321" spans="1:7" x14ac:dyDescent="0.55000000000000004">
      <c r="A321" s="1">
        <v>39767</v>
      </c>
      <c r="B321">
        <v>2008</v>
      </c>
      <c r="C321">
        <v>11</v>
      </c>
      <c r="D321" t="s">
        <v>1614</v>
      </c>
      <c r="E321" t="s">
        <v>1613</v>
      </c>
      <c r="F321">
        <v>46</v>
      </c>
      <c r="G321" t="s">
        <v>1600</v>
      </c>
    </row>
    <row r="322" spans="1:7" x14ac:dyDescent="0.55000000000000004">
      <c r="A322" s="1">
        <v>39768</v>
      </c>
      <c r="B322">
        <v>2008</v>
      </c>
      <c r="C322">
        <v>11</v>
      </c>
      <c r="D322" t="s">
        <v>1614</v>
      </c>
      <c r="E322" t="s">
        <v>1613</v>
      </c>
      <c r="F322">
        <v>47</v>
      </c>
      <c r="G322" t="s">
        <v>1601</v>
      </c>
    </row>
    <row r="323" spans="1:7" x14ac:dyDescent="0.55000000000000004">
      <c r="A323" s="1">
        <v>39769</v>
      </c>
      <c r="B323">
        <v>2008</v>
      </c>
      <c r="C323">
        <v>11</v>
      </c>
      <c r="D323" t="s">
        <v>1614</v>
      </c>
      <c r="E323" t="s">
        <v>1613</v>
      </c>
      <c r="F323">
        <v>47</v>
      </c>
      <c r="G323" t="s">
        <v>1602</v>
      </c>
    </row>
    <row r="324" spans="1:7" x14ac:dyDescent="0.55000000000000004">
      <c r="A324" s="1">
        <v>39770</v>
      </c>
      <c r="B324">
        <v>2008</v>
      </c>
      <c r="C324">
        <v>11</v>
      </c>
      <c r="D324" t="s">
        <v>1614</v>
      </c>
      <c r="E324" t="s">
        <v>1613</v>
      </c>
      <c r="F324">
        <v>47</v>
      </c>
      <c r="G324" t="s">
        <v>1596</v>
      </c>
    </row>
    <row r="325" spans="1:7" x14ac:dyDescent="0.55000000000000004">
      <c r="A325" s="1">
        <v>39771</v>
      </c>
      <c r="B325">
        <v>2008</v>
      </c>
      <c r="C325">
        <v>11</v>
      </c>
      <c r="D325" t="s">
        <v>1614</v>
      </c>
      <c r="E325" t="s">
        <v>1613</v>
      </c>
      <c r="F325">
        <v>47</v>
      </c>
      <c r="G325" t="s">
        <v>1597</v>
      </c>
    </row>
    <row r="326" spans="1:7" x14ac:dyDescent="0.55000000000000004">
      <c r="A326" s="1">
        <v>39772</v>
      </c>
      <c r="B326">
        <v>2008</v>
      </c>
      <c r="C326">
        <v>11</v>
      </c>
      <c r="D326" t="s">
        <v>1614</v>
      </c>
      <c r="E326" t="s">
        <v>1613</v>
      </c>
      <c r="F326">
        <v>47</v>
      </c>
      <c r="G326" t="s">
        <v>1598</v>
      </c>
    </row>
    <row r="327" spans="1:7" x14ac:dyDescent="0.55000000000000004">
      <c r="A327" s="1">
        <v>39773</v>
      </c>
      <c r="B327">
        <v>2008</v>
      </c>
      <c r="C327">
        <v>11</v>
      </c>
      <c r="D327" t="s">
        <v>1614</v>
      </c>
      <c r="E327" t="s">
        <v>1613</v>
      </c>
      <c r="F327">
        <v>47</v>
      </c>
      <c r="G327" t="s">
        <v>1599</v>
      </c>
    </row>
    <row r="328" spans="1:7" x14ac:dyDescent="0.55000000000000004">
      <c r="A328" s="1">
        <v>39774</v>
      </c>
      <c r="B328">
        <v>2008</v>
      </c>
      <c r="C328">
        <v>11</v>
      </c>
      <c r="D328" t="s">
        <v>1614</v>
      </c>
      <c r="E328" t="s">
        <v>1613</v>
      </c>
      <c r="F328">
        <v>47</v>
      </c>
      <c r="G328" t="s">
        <v>1600</v>
      </c>
    </row>
    <row r="329" spans="1:7" x14ac:dyDescent="0.55000000000000004">
      <c r="A329" s="1">
        <v>39775</v>
      </c>
      <c r="B329">
        <v>2008</v>
      </c>
      <c r="C329">
        <v>11</v>
      </c>
      <c r="D329" t="s">
        <v>1614</v>
      </c>
      <c r="E329" t="s">
        <v>1613</v>
      </c>
      <c r="F329">
        <v>48</v>
      </c>
      <c r="G329" t="s">
        <v>1601</v>
      </c>
    </row>
    <row r="330" spans="1:7" x14ac:dyDescent="0.55000000000000004">
      <c r="A330" s="1">
        <v>39776</v>
      </c>
      <c r="B330">
        <v>2008</v>
      </c>
      <c r="C330">
        <v>11</v>
      </c>
      <c r="D330" t="s">
        <v>1614</v>
      </c>
      <c r="E330" t="s">
        <v>1613</v>
      </c>
      <c r="F330">
        <v>48</v>
      </c>
      <c r="G330" t="s">
        <v>1602</v>
      </c>
    </row>
    <row r="331" spans="1:7" x14ac:dyDescent="0.55000000000000004">
      <c r="A331" s="1">
        <v>39777</v>
      </c>
      <c r="B331">
        <v>2008</v>
      </c>
      <c r="C331">
        <v>11</v>
      </c>
      <c r="D331" t="s">
        <v>1614</v>
      </c>
      <c r="E331" t="s">
        <v>1613</v>
      </c>
      <c r="F331">
        <v>48</v>
      </c>
      <c r="G331" t="s">
        <v>1596</v>
      </c>
    </row>
    <row r="332" spans="1:7" x14ac:dyDescent="0.55000000000000004">
      <c r="A332" s="1">
        <v>39778</v>
      </c>
      <c r="B332">
        <v>2008</v>
      </c>
      <c r="C332">
        <v>11</v>
      </c>
      <c r="D332" t="s">
        <v>1614</v>
      </c>
      <c r="E332" t="s">
        <v>1613</v>
      </c>
      <c r="F332">
        <v>48</v>
      </c>
      <c r="G332" t="s">
        <v>1597</v>
      </c>
    </row>
    <row r="333" spans="1:7" x14ac:dyDescent="0.55000000000000004">
      <c r="A333" s="1">
        <v>39779</v>
      </c>
      <c r="B333">
        <v>2008</v>
      </c>
      <c r="C333">
        <v>11</v>
      </c>
      <c r="D333" t="s">
        <v>1614</v>
      </c>
      <c r="E333" t="s">
        <v>1613</v>
      </c>
      <c r="F333">
        <v>48</v>
      </c>
      <c r="G333" t="s">
        <v>1598</v>
      </c>
    </row>
    <row r="334" spans="1:7" x14ac:dyDescent="0.55000000000000004">
      <c r="A334" s="1">
        <v>39780</v>
      </c>
      <c r="B334">
        <v>2008</v>
      </c>
      <c r="C334">
        <v>11</v>
      </c>
      <c r="D334" t="s">
        <v>1614</v>
      </c>
      <c r="E334" t="s">
        <v>1613</v>
      </c>
      <c r="F334">
        <v>48</v>
      </c>
      <c r="G334" t="s">
        <v>1599</v>
      </c>
    </row>
    <row r="335" spans="1:7" x14ac:dyDescent="0.55000000000000004">
      <c r="A335" s="1">
        <v>39781</v>
      </c>
      <c r="B335">
        <v>2008</v>
      </c>
      <c r="C335">
        <v>11</v>
      </c>
      <c r="D335" t="s">
        <v>1614</v>
      </c>
      <c r="E335" t="s">
        <v>1613</v>
      </c>
      <c r="F335">
        <v>48</v>
      </c>
      <c r="G335" t="s">
        <v>1600</v>
      </c>
    </row>
    <row r="336" spans="1:7" x14ac:dyDescent="0.55000000000000004">
      <c r="A336" s="1">
        <v>39782</v>
      </c>
      <c r="B336">
        <v>2008</v>
      </c>
      <c r="C336">
        <v>11</v>
      </c>
      <c r="D336" t="s">
        <v>1614</v>
      </c>
      <c r="E336" t="s">
        <v>1613</v>
      </c>
      <c r="F336">
        <v>49</v>
      </c>
      <c r="G336" t="s">
        <v>1601</v>
      </c>
    </row>
    <row r="337" spans="1:7" x14ac:dyDescent="0.55000000000000004">
      <c r="A337" s="1">
        <v>39783</v>
      </c>
      <c r="B337">
        <v>2008</v>
      </c>
      <c r="C337">
        <v>12</v>
      </c>
      <c r="D337" t="s">
        <v>1615</v>
      </c>
      <c r="E337" t="s">
        <v>1613</v>
      </c>
      <c r="F337">
        <v>49</v>
      </c>
      <c r="G337" t="s">
        <v>1602</v>
      </c>
    </row>
    <row r="338" spans="1:7" x14ac:dyDescent="0.55000000000000004">
      <c r="A338" s="1">
        <v>39784</v>
      </c>
      <c r="B338">
        <v>2008</v>
      </c>
      <c r="C338">
        <v>12</v>
      </c>
      <c r="D338" t="s">
        <v>1615</v>
      </c>
      <c r="E338" t="s">
        <v>1613</v>
      </c>
      <c r="F338">
        <v>49</v>
      </c>
      <c r="G338" t="s">
        <v>1596</v>
      </c>
    </row>
    <row r="339" spans="1:7" x14ac:dyDescent="0.55000000000000004">
      <c r="A339" s="1">
        <v>39785</v>
      </c>
      <c r="B339">
        <v>2008</v>
      </c>
      <c r="C339">
        <v>12</v>
      </c>
      <c r="D339" t="s">
        <v>1615</v>
      </c>
      <c r="E339" t="s">
        <v>1613</v>
      </c>
      <c r="F339">
        <v>49</v>
      </c>
      <c r="G339" t="s">
        <v>1597</v>
      </c>
    </row>
    <row r="340" spans="1:7" x14ac:dyDescent="0.55000000000000004">
      <c r="A340" s="1">
        <v>39786</v>
      </c>
      <c r="B340">
        <v>2008</v>
      </c>
      <c r="C340">
        <v>12</v>
      </c>
      <c r="D340" t="s">
        <v>1615</v>
      </c>
      <c r="E340" t="s">
        <v>1613</v>
      </c>
      <c r="F340">
        <v>49</v>
      </c>
      <c r="G340" t="s">
        <v>1598</v>
      </c>
    </row>
    <row r="341" spans="1:7" x14ac:dyDescent="0.55000000000000004">
      <c r="A341" s="1">
        <v>39787</v>
      </c>
      <c r="B341">
        <v>2008</v>
      </c>
      <c r="C341">
        <v>12</v>
      </c>
      <c r="D341" t="s">
        <v>1615</v>
      </c>
      <c r="E341" t="s">
        <v>1613</v>
      </c>
      <c r="F341">
        <v>49</v>
      </c>
      <c r="G341" t="s">
        <v>1599</v>
      </c>
    </row>
    <row r="342" spans="1:7" x14ac:dyDescent="0.55000000000000004">
      <c r="A342" s="1">
        <v>39788</v>
      </c>
      <c r="B342">
        <v>2008</v>
      </c>
      <c r="C342">
        <v>12</v>
      </c>
      <c r="D342" t="s">
        <v>1615</v>
      </c>
      <c r="E342" t="s">
        <v>1613</v>
      </c>
      <c r="F342">
        <v>49</v>
      </c>
      <c r="G342" t="s">
        <v>1600</v>
      </c>
    </row>
    <row r="343" spans="1:7" x14ac:dyDescent="0.55000000000000004">
      <c r="A343" s="1">
        <v>39789</v>
      </c>
      <c r="B343">
        <v>2008</v>
      </c>
      <c r="C343">
        <v>12</v>
      </c>
      <c r="D343" t="s">
        <v>1615</v>
      </c>
      <c r="E343" t="s">
        <v>1613</v>
      </c>
      <c r="F343">
        <v>50</v>
      </c>
      <c r="G343" t="s">
        <v>1601</v>
      </c>
    </row>
    <row r="344" spans="1:7" x14ac:dyDescent="0.55000000000000004">
      <c r="A344" s="1">
        <v>39790</v>
      </c>
      <c r="B344">
        <v>2008</v>
      </c>
      <c r="C344">
        <v>12</v>
      </c>
      <c r="D344" t="s">
        <v>1615</v>
      </c>
      <c r="E344" t="s">
        <v>1613</v>
      </c>
      <c r="F344">
        <v>50</v>
      </c>
      <c r="G344" t="s">
        <v>1602</v>
      </c>
    </row>
    <row r="345" spans="1:7" x14ac:dyDescent="0.55000000000000004">
      <c r="A345" s="1">
        <v>39791</v>
      </c>
      <c r="B345">
        <v>2008</v>
      </c>
      <c r="C345">
        <v>12</v>
      </c>
      <c r="D345" t="s">
        <v>1615</v>
      </c>
      <c r="E345" t="s">
        <v>1613</v>
      </c>
      <c r="F345">
        <v>50</v>
      </c>
      <c r="G345" t="s">
        <v>1596</v>
      </c>
    </row>
    <row r="346" spans="1:7" x14ac:dyDescent="0.55000000000000004">
      <c r="A346" s="1">
        <v>39792</v>
      </c>
      <c r="B346">
        <v>2008</v>
      </c>
      <c r="C346">
        <v>12</v>
      </c>
      <c r="D346" t="s">
        <v>1615</v>
      </c>
      <c r="E346" t="s">
        <v>1613</v>
      </c>
      <c r="F346">
        <v>50</v>
      </c>
      <c r="G346" t="s">
        <v>1597</v>
      </c>
    </row>
    <row r="347" spans="1:7" x14ac:dyDescent="0.55000000000000004">
      <c r="A347" s="1">
        <v>39793</v>
      </c>
      <c r="B347">
        <v>2008</v>
      </c>
      <c r="C347">
        <v>12</v>
      </c>
      <c r="D347" t="s">
        <v>1615</v>
      </c>
      <c r="E347" t="s">
        <v>1613</v>
      </c>
      <c r="F347">
        <v>50</v>
      </c>
      <c r="G347" t="s">
        <v>1598</v>
      </c>
    </row>
    <row r="348" spans="1:7" x14ac:dyDescent="0.55000000000000004">
      <c r="A348" s="1">
        <v>39794</v>
      </c>
      <c r="B348">
        <v>2008</v>
      </c>
      <c r="C348">
        <v>12</v>
      </c>
      <c r="D348" t="s">
        <v>1615</v>
      </c>
      <c r="E348" t="s">
        <v>1613</v>
      </c>
      <c r="F348">
        <v>50</v>
      </c>
      <c r="G348" t="s">
        <v>1599</v>
      </c>
    </row>
    <row r="349" spans="1:7" x14ac:dyDescent="0.55000000000000004">
      <c r="A349" s="1">
        <v>39795</v>
      </c>
      <c r="B349">
        <v>2008</v>
      </c>
      <c r="C349">
        <v>12</v>
      </c>
      <c r="D349" t="s">
        <v>1615</v>
      </c>
      <c r="E349" t="s">
        <v>1613</v>
      </c>
      <c r="F349">
        <v>50</v>
      </c>
      <c r="G349" t="s">
        <v>1600</v>
      </c>
    </row>
    <row r="350" spans="1:7" x14ac:dyDescent="0.55000000000000004">
      <c r="A350" s="1">
        <v>39796</v>
      </c>
      <c r="B350">
        <v>2008</v>
      </c>
      <c r="C350">
        <v>12</v>
      </c>
      <c r="D350" t="s">
        <v>1615</v>
      </c>
      <c r="E350" t="s">
        <v>1613</v>
      </c>
      <c r="F350">
        <v>51</v>
      </c>
      <c r="G350" t="s">
        <v>1601</v>
      </c>
    </row>
    <row r="351" spans="1:7" x14ac:dyDescent="0.55000000000000004">
      <c r="A351" s="1">
        <v>39797</v>
      </c>
      <c r="B351">
        <v>2008</v>
      </c>
      <c r="C351">
        <v>12</v>
      </c>
      <c r="D351" t="s">
        <v>1615</v>
      </c>
      <c r="E351" t="s">
        <v>1613</v>
      </c>
      <c r="F351">
        <v>51</v>
      </c>
      <c r="G351" t="s">
        <v>1602</v>
      </c>
    </row>
    <row r="352" spans="1:7" x14ac:dyDescent="0.55000000000000004">
      <c r="A352" s="1">
        <v>39798</v>
      </c>
      <c r="B352">
        <v>2008</v>
      </c>
      <c r="C352">
        <v>12</v>
      </c>
      <c r="D352" t="s">
        <v>1615</v>
      </c>
      <c r="E352" t="s">
        <v>1613</v>
      </c>
      <c r="F352">
        <v>51</v>
      </c>
      <c r="G352" t="s">
        <v>1596</v>
      </c>
    </row>
    <row r="353" spans="1:7" x14ac:dyDescent="0.55000000000000004">
      <c r="A353" s="1">
        <v>39799</v>
      </c>
      <c r="B353">
        <v>2008</v>
      </c>
      <c r="C353">
        <v>12</v>
      </c>
      <c r="D353" t="s">
        <v>1615</v>
      </c>
      <c r="E353" t="s">
        <v>1613</v>
      </c>
      <c r="F353">
        <v>51</v>
      </c>
      <c r="G353" t="s">
        <v>1597</v>
      </c>
    </row>
    <row r="354" spans="1:7" x14ac:dyDescent="0.55000000000000004">
      <c r="A354" s="1">
        <v>39800</v>
      </c>
      <c r="B354">
        <v>2008</v>
      </c>
      <c r="C354">
        <v>12</v>
      </c>
      <c r="D354" t="s">
        <v>1615</v>
      </c>
      <c r="E354" t="s">
        <v>1613</v>
      </c>
      <c r="F354">
        <v>51</v>
      </c>
      <c r="G354" t="s">
        <v>1598</v>
      </c>
    </row>
    <row r="355" spans="1:7" x14ac:dyDescent="0.55000000000000004">
      <c r="A355" s="1">
        <v>39801</v>
      </c>
      <c r="B355">
        <v>2008</v>
      </c>
      <c r="C355">
        <v>12</v>
      </c>
      <c r="D355" t="s">
        <v>1615</v>
      </c>
      <c r="E355" t="s">
        <v>1613</v>
      </c>
      <c r="F355">
        <v>51</v>
      </c>
      <c r="G355" t="s">
        <v>1599</v>
      </c>
    </row>
    <row r="356" spans="1:7" x14ac:dyDescent="0.55000000000000004">
      <c r="A356" s="1">
        <v>39802</v>
      </c>
      <c r="B356">
        <v>2008</v>
      </c>
      <c r="C356">
        <v>12</v>
      </c>
      <c r="D356" t="s">
        <v>1615</v>
      </c>
      <c r="E356" t="s">
        <v>1613</v>
      </c>
      <c r="F356">
        <v>51</v>
      </c>
      <c r="G356" t="s">
        <v>1600</v>
      </c>
    </row>
    <row r="357" spans="1:7" x14ac:dyDescent="0.55000000000000004">
      <c r="A357" s="1">
        <v>39803</v>
      </c>
      <c r="B357">
        <v>2008</v>
      </c>
      <c r="C357">
        <v>12</v>
      </c>
      <c r="D357" t="s">
        <v>1615</v>
      </c>
      <c r="E357" t="s">
        <v>1613</v>
      </c>
      <c r="F357">
        <v>52</v>
      </c>
      <c r="G357" t="s">
        <v>1601</v>
      </c>
    </row>
    <row r="358" spans="1:7" x14ac:dyDescent="0.55000000000000004">
      <c r="A358" s="1">
        <v>39804</v>
      </c>
      <c r="B358">
        <v>2008</v>
      </c>
      <c r="C358">
        <v>12</v>
      </c>
      <c r="D358" t="s">
        <v>1615</v>
      </c>
      <c r="E358" t="s">
        <v>1613</v>
      </c>
      <c r="F358">
        <v>52</v>
      </c>
      <c r="G358" t="s">
        <v>1602</v>
      </c>
    </row>
    <row r="359" spans="1:7" x14ac:dyDescent="0.55000000000000004">
      <c r="A359" s="1">
        <v>39805</v>
      </c>
      <c r="B359">
        <v>2008</v>
      </c>
      <c r="C359">
        <v>12</v>
      </c>
      <c r="D359" t="s">
        <v>1615</v>
      </c>
      <c r="E359" t="s">
        <v>1613</v>
      </c>
      <c r="F359">
        <v>52</v>
      </c>
      <c r="G359" t="s">
        <v>1596</v>
      </c>
    </row>
    <row r="360" spans="1:7" x14ac:dyDescent="0.55000000000000004">
      <c r="A360" s="1">
        <v>39806</v>
      </c>
      <c r="B360">
        <v>2008</v>
      </c>
      <c r="C360">
        <v>12</v>
      </c>
      <c r="D360" t="s">
        <v>1615</v>
      </c>
      <c r="E360" t="s">
        <v>1613</v>
      </c>
      <c r="F360">
        <v>52</v>
      </c>
      <c r="G360" t="s">
        <v>1597</v>
      </c>
    </row>
    <row r="361" spans="1:7" x14ac:dyDescent="0.55000000000000004">
      <c r="A361" s="1">
        <v>39807</v>
      </c>
      <c r="B361">
        <v>2008</v>
      </c>
      <c r="C361">
        <v>12</v>
      </c>
      <c r="D361" t="s">
        <v>1615</v>
      </c>
      <c r="E361" t="s">
        <v>1613</v>
      </c>
      <c r="F361">
        <v>52</v>
      </c>
      <c r="G361" t="s">
        <v>1598</v>
      </c>
    </row>
    <row r="362" spans="1:7" x14ac:dyDescent="0.55000000000000004">
      <c r="A362" s="1">
        <v>39808</v>
      </c>
      <c r="B362">
        <v>2008</v>
      </c>
      <c r="C362">
        <v>12</v>
      </c>
      <c r="D362" t="s">
        <v>1615</v>
      </c>
      <c r="E362" t="s">
        <v>1613</v>
      </c>
      <c r="F362">
        <v>52</v>
      </c>
      <c r="G362" t="s">
        <v>1599</v>
      </c>
    </row>
    <row r="363" spans="1:7" x14ac:dyDescent="0.55000000000000004">
      <c r="A363" s="1">
        <v>39809</v>
      </c>
      <c r="B363">
        <v>2008</v>
      </c>
      <c r="C363">
        <v>12</v>
      </c>
      <c r="D363" t="s">
        <v>1615</v>
      </c>
      <c r="E363" t="s">
        <v>1613</v>
      </c>
      <c r="F363">
        <v>52</v>
      </c>
      <c r="G363" t="s">
        <v>1600</v>
      </c>
    </row>
    <row r="364" spans="1:7" x14ac:dyDescent="0.55000000000000004">
      <c r="A364" s="1">
        <v>39810</v>
      </c>
      <c r="B364">
        <v>2008</v>
      </c>
      <c r="C364">
        <v>12</v>
      </c>
      <c r="D364" t="s">
        <v>1615</v>
      </c>
      <c r="E364" t="s">
        <v>1613</v>
      </c>
      <c r="F364">
        <v>53</v>
      </c>
      <c r="G364" t="s">
        <v>1601</v>
      </c>
    </row>
    <row r="365" spans="1:7" x14ac:dyDescent="0.55000000000000004">
      <c r="A365" s="1">
        <v>39811</v>
      </c>
      <c r="B365">
        <v>2008</v>
      </c>
      <c r="C365">
        <v>12</v>
      </c>
      <c r="D365" t="s">
        <v>1615</v>
      </c>
      <c r="E365" t="s">
        <v>1613</v>
      </c>
      <c r="F365">
        <v>53</v>
      </c>
      <c r="G365" t="s">
        <v>1602</v>
      </c>
    </row>
    <row r="366" spans="1:7" x14ac:dyDescent="0.55000000000000004">
      <c r="A366" s="1">
        <v>39812</v>
      </c>
      <c r="B366">
        <v>2008</v>
      </c>
      <c r="C366">
        <v>12</v>
      </c>
      <c r="D366" t="s">
        <v>1615</v>
      </c>
      <c r="E366" t="s">
        <v>1613</v>
      </c>
      <c r="F366">
        <v>53</v>
      </c>
      <c r="G366" t="s">
        <v>1596</v>
      </c>
    </row>
    <row r="367" spans="1:7" x14ac:dyDescent="0.55000000000000004">
      <c r="A367" s="1">
        <v>39813</v>
      </c>
      <c r="B367">
        <v>2008</v>
      </c>
      <c r="C367">
        <v>12</v>
      </c>
      <c r="D367" t="s">
        <v>1615</v>
      </c>
      <c r="E367" t="s">
        <v>1613</v>
      </c>
      <c r="F367">
        <v>53</v>
      </c>
      <c r="G367" t="s">
        <v>1597</v>
      </c>
    </row>
    <row r="368" spans="1:7" x14ac:dyDescent="0.55000000000000004">
      <c r="A368" s="1">
        <v>39814</v>
      </c>
      <c r="B368">
        <v>2009</v>
      </c>
      <c r="C368">
        <v>1</v>
      </c>
      <c r="D368" t="s">
        <v>1594</v>
      </c>
      <c r="E368" t="s">
        <v>1595</v>
      </c>
      <c r="F368">
        <v>1</v>
      </c>
      <c r="G368" t="s">
        <v>1598</v>
      </c>
    </row>
    <row r="369" spans="1:7" x14ac:dyDescent="0.55000000000000004">
      <c r="A369" s="1">
        <v>39815</v>
      </c>
      <c r="B369">
        <v>2009</v>
      </c>
      <c r="C369">
        <v>1</v>
      </c>
      <c r="D369" t="s">
        <v>1594</v>
      </c>
      <c r="E369" t="s">
        <v>1595</v>
      </c>
      <c r="F369">
        <v>1</v>
      </c>
      <c r="G369" t="s">
        <v>1599</v>
      </c>
    </row>
    <row r="370" spans="1:7" x14ac:dyDescent="0.55000000000000004">
      <c r="A370" s="1">
        <v>39816</v>
      </c>
      <c r="B370">
        <v>2009</v>
      </c>
      <c r="C370">
        <v>1</v>
      </c>
      <c r="D370" t="s">
        <v>1594</v>
      </c>
      <c r="E370" t="s">
        <v>1595</v>
      </c>
      <c r="F370">
        <v>1</v>
      </c>
      <c r="G370" t="s">
        <v>1600</v>
      </c>
    </row>
    <row r="371" spans="1:7" x14ac:dyDescent="0.55000000000000004">
      <c r="A371" s="1">
        <v>39817</v>
      </c>
      <c r="B371">
        <v>2009</v>
      </c>
      <c r="C371">
        <v>1</v>
      </c>
      <c r="D371" t="s">
        <v>1594</v>
      </c>
      <c r="E371" t="s">
        <v>1595</v>
      </c>
      <c r="F371">
        <v>2</v>
      </c>
      <c r="G371" t="s">
        <v>1601</v>
      </c>
    </row>
    <row r="372" spans="1:7" x14ac:dyDescent="0.55000000000000004">
      <c r="A372" s="1">
        <v>39818</v>
      </c>
      <c r="B372">
        <v>2009</v>
      </c>
      <c r="C372">
        <v>1</v>
      </c>
      <c r="D372" t="s">
        <v>1594</v>
      </c>
      <c r="E372" t="s">
        <v>1595</v>
      </c>
      <c r="F372">
        <v>2</v>
      </c>
      <c r="G372" t="s">
        <v>1602</v>
      </c>
    </row>
    <row r="373" spans="1:7" x14ac:dyDescent="0.55000000000000004">
      <c r="A373" s="1">
        <v>39819</v>
      </c>
      <c r="B373">
        <v>2009</v>
      </c>
      <c r="C373">
        <v>1</v>
      </c>
      <c r="D373" t="s">
        <v>1594</v>
      </c>
      <c r="E373" t="s">
        <v>1595</v>
      </c>
      <c r="F373">
        <v>2</v>
      </c>
      <c r="G373" t="s">
        <v>1596</v>
      </c>
    </row>
    <row r="374" spans="1:7" x14ac:dyDescent="0.55000000000000004">
      <c r="A374" s="1">
        <v>39820</v>
      </c>
      <c r="B374">
        <v>2009</v>
      </c>
      <c r="C374">
        <v>1</v>
      </c>
      <c r="D374" t="s">
        <v>1594</v>
      </c>
      <c r="E374" t="s">
        <v>1595</v>
      </c>
      <c r="F374">
        <v>2</v>
      </c>
      <c r="G374" t="s">
        <v>1597</v>
      </c>
    </row>
    <row r="375" spans="1:7" x14ac:dyDescent="0.55000000000000004">
      <c r="A375" s="1">
        <v>39821</v>
      </c>
      <c r="B375">
        <v>2009</v>
      </c>
      <c r="C375">
        <v>1</v>
      </c>
      <c r="D375" t="s">
        <v>1594</v>
      </c>
      <c r="E375" t="s">
        <v>1595</v>
      </c>
      <c r="F375">
        <v>2</v>
      </c>
      <c r="G375" t="s">
        <v>1598</v>
      </c>
    </row>
    <row r="376" spans="1:7" x14ac:dyDescent="0.55000000000000004">
      <c r="A376" s="1">
        <v>39822</v>
      </c>
      <c r="B376">
        <v>2009</v>
      </c>
      <c r="C376">
        <v>1</v>
      </c>
      <c r="D376" t="s">
        <v>1594</v>
      </c>
      <c r="E376" t="s">
        <v>1595</v>
      </c>
      <c r="F376">
        <v>2</v>
      </c>
      <c r="G376" t="s">
        <v>1599</v>
      </c>
    </row>
    <row r="377" spans="1:7" x14ac:dyDescent="0.55000000000000004">
      <c r="A377" s="1">
        <v>39823</v>
      </c>
      <c r="B377">
        <v>2009</v>
      </c>
      <c r="C377">
        <v>1</v>
      </c>
      <c r="D377" t="s">
        <v>1594</v>
      </c>
      <c r="E377" t="s">
        <v>1595</v>
      </c>
      <c r="F377">
        <v>2</v>
      </c>
      <c r="G377" t="s">
        <v>1600</v>
      </c>
    </row>
    <row r="378" spans="1:7" x14ac:dyDescent="0.55000000000000004">
      <c r="A378" s="1">
        <v>39824</v>
      </c>
      <c r="B378">
        <v>2009</v>
      </c>
      <c r="C378">
        <v>1</v>
      </c>
      <c r="D378" t="s">
        <v>1594</v>
      </c>
      <c r="E378" t="s">
        <v>1595</v>
      </c>
      <c r="F378">
        <v>3</v>
      </c>
      <c r="G378" t="s">
        <v>1601</v>
      </c>
    </row>
    <row r="379" spans="1:7" x14ac:dyDescent="0.55000000000000004">
      <c r="A379" s="1">
        <v>39825</v>
      </c>
      <c r="B379">
        <v>2009</v>
      </c>
      <c r="C379">
        <v>1</v>
      </c>
      <c r="D379" t="s">
        <v>1594</v>
      </c>
      <c r="E379" t="s">
        <v>1595</v>
      </c>
      <c r="F379">
        <v>3</v>
      </c>
      <c r="G379" t="s">
        <v>1602</v>
      </c>
    </row>
    <row r="380" spans="1:7" x14ac:dyDescent="0.55000000000000004">
      <c r="A380" s="1">
        <v>39826</v>
      </c>
      <c r="B380">
        <v>2009</v>
      </c>
      <c r="C380">
        <v>1</v>
      </c>
      <c r="D380" t="s">
        <v>1594</v>
      </c>
      <c r="E380" t="s">
        <v>1595</v>
      </c>
      <c r="F380">
        <v>3</v>
      </c>
      <c r="G380" t="s">
        <v>1596</v>
      </c>
    </row>
    <row r="381" spans="1:7" x14ac:dyDescent="0.55000000000000004">
      <c r="A381" s="1">
        <v>39827</v>
      </c>
      <c r="B381">
        <v>2009</v>
      </c>
      <c r="C381">
        <v>1</v>
      </c>
      <c r="D381" t="s">
        <v>1594</v>
      </c>
      <c r="E381" t="s">
        <v>1595</v>
      </c>
      <c r="F381">
        <v>3</v>
      </c>
      <c r="G381" t="s">
        <v>1597</v>
      </c>
    </row>
    <row r="382" spans="1:7" x14ac:dyDescent="0.55000000000000004">
      <c r="A382" s="1">
        <v>39828</v>
      </c>
      <c r="B382">
        <v>2009</v>
      </c>
      <c r="C382">
        <v>1</v>
      </c>
      <c r="D382" t="s">
        <v>1594</v>
      </c>
      <c r="E382" t="s">
        <v>1595</v>
      </c>
      <c r="F382">
        <v>3</v>
      </c>
      <c r="G382" t="s">
        <v>1598</v>
      </c>
    </row>
    <row r="383" spans="1:7" x14ac:dyDescent="0.55000000000000004">
      <c r="A383" s="1">
        <v>39829</v>
      </c>
      <c r="B383">
        <v>2009</v>
      </c>
      <c r="C383">
        <v>1</v>
      </c>
      <c r="D383" t="s">
        <v>1594</v>
      </c>
      <c r="E383" t="s">
        <v>1595</v>
      </c>
      <c r="F383">
        <v>3</v>
      </c>
      <c r="G383" t="s">
        <v>1599</v>
      </c>
    </row>
    <row r="384" spans="1:7" x14ac:dyDescent="0.55000000000000004">
      <c r="A384" s="1">
        <v>39830</v>
      </c>
      <c r="B384">
        <v>2009</v>
      </c>
      <c r="C384">
        <v>1</v>
      </c>
      <c r="D384" t="s">
        <v>1594</v>
      </c>
      <c r="E384" t="s">
        <v>1595</v>
      </c>
      <c r="F384">
        <v>3</v>
      </c>
      <c r="G384" t="s">
        <v>1600</v>
      </c>
    </row>
    <row r="385" spans="1:7" x14ac:dyDescent="0.55000000000000004">
      <c r="A385" s="1">
        <v>39831</v>
      </c>
      <c r="B385">
        <v>2009</v>
      </c>
      <c r="C385">
        <v>1</v>
      </c>
      <c r="D385" t="s">
        <v>1594</v>
      </c>
      <c r="E385" t="s">
        <v>1595</v>
      </c>
      <c r="F385">
        <v>4</v>
      </c>
      <c r="G385" t="s">
        <v>1601</v>
      </c>
    </row>
    <row r="386" spans="1:7" x14ac:dyDescent="0.55000000000000004">
      <c r="A386" s="1">
        <v>39832</v>
      </c>
      <c r="B386">
        <v>2009</v>
      </c>
      <c r="C386">
        <v>1</v>
      </c>
      <c r="D386" t="s">
        <v>1594</v>
      </c>
      <c r="E386" t="s">
        <v>1595</v>
      </c>
      <c r="F386">
        <v>4</v>
      </c>
      <c r="G386" t="s">
        <v>1602</v>
      </c>
    </row>
    <row r="387" spans="1:7" x14ac:dyDescent="0.55000000000000004">
      <c r="A387" s="1">
        <v>39833</v>
      </c>
      <c r="B387">
        <v>2009</v>
      </c>
      <c r="C387">
        <v>1</v>
      </c>
      <c r="D387" t="s">
        <v>1594</v>
      </c>
      <c r="E387" t="s">
        <v>1595</v>
      </c>
      <c r="F387">
        <v>4</v>
      </c>
      <c r="G387" t="s">
        <v>1596</v>
      </c>
    </row>
    <row r="388" spans="1:7" x14ac:dyDescent="0.55000000000000004">
      <c r="A388" s="1">
        <v>39834</v>
      </c>
      <c r="B388">
        <v>2009</v>
      </c>
      <c r="C388">
        <v>1</v>
      </c>
      <c r="D388" t="s">
        <v>1594</v>
      </c>
      <c r="E388" t="s">
        <v>1595</v>
      </c>
      <c r="F388">
        <v>4</v>
      </c>
      <c r="G388" t="s">
        <v>1597</v>
      </c>
    </row>
    <row r="389" spans="1:7" x14ac:dyDescent="0.55000000000000004">
      <c r="A389" s="1">
        <v>39835</v>
      </c>
      <c r="B389">
        <v>2009</v>
      </c>
      <c r="C389">
        <v>1</v>
      </c>
      <c r="D389" t="s">
        <v>1594</v>
      </c>
      <c r="E389" t="s">
        <v>1595</v>
      </c>
      <c r="F389">
        <v>4</v>
      </c>
      <c r="G389" t="s">
        <v>1598</v>
      </c>
    </row>
    <row r="390" spans="1:7" x14ac:dyDescent="0.55000000000000004">
      <c r="A390" s="1">
        <v>39836</v>
      </c>
      <c r="B390">
        <v>2009</v>
      </c>
      <c r="C390">
        <v>1</v>
      </c>
      <c r="D390" t="s">
        <v>1594</v>
      </c>
      <c r="E390" t="s">
        <v>1595</v>
      </c>
      <c r="F390">
        <v>4</v>
      </c>
      <c r="G390" t="s">
        <v>1599</v>
      </c>
    </row>
    <row r="391" spans="1:7" x14ac:dyDescent="0.55000000000000004">
      <c r="A391" s="1">
        <v>39837</v>
      </c>
      <c r="B391">
        <v>2009</v>
      </c>
      <c r="C391">
        <v>1</v>
      </c>
      <c r="D391" t="s">
        <v>1594</v>
      </c>
      <c r="E391" t="s">
        <v>1595</v>
      </c>
      <c r="F391">
        <v>4</v>
      </c>
      <c r="G391" t="s">
        <v>1600</v>
      </c>
    </row>
    <row r="392" spans="1:7" x14ac:dyDescent="0.55000000000000004">
      <c r="A392" s="1">
        <v>39838</v>
      </c>
      <c r="B392">
        <v>2009</v>
      </c>
      <c r="C392">
        <v>1</v>
      </c>
      <c r="D392" t="s">
        <v>1594</v>
      </c>
      <c r="E392" t="s">
        <v>1595</v>
      </c>
      <c r="F392">
        <v>5</v>
      </c>
      <c r="G392" t="s">
        <v>1601</v>
      </c>
    </row>
    <row r="393" spans="1:7" x14ac:dyDescent="0.55000000000000004">
      <c r="A393" s="1">
        <v>39839</v>
      </c>
      <c r="B393">
        <v>2009</v>
      </c>
      <c r="C393">
        <v>1</v>
      </c>
      <c r="D393" t="s">
        <v>1594</v>
      </c>
      <c r="E393" t="s">
        <v>1595</v>
      </c>
      <c r="F393">
        <v>5</v>
      </c>
      <c r="G393" t="s">
        <v>1602</v>
      </c>
    </row>
    <row r="394" spans="1:7" x14ac:dyDescent="0.55000000000000004">
      <c r="A394" s="1">
        <v>39840</v>
      </c>
      <c r="B394">
        <v>2009</v>
      </c>
      <c r="C394">
        <v>1</v>
      </c>
      <c r="D394" t="s">
        <v>1594</v>
      </c>
      <c r="E394" t="s">
        <v>1595</v>
      </c>
      <c r="F394">
        <v>5</v>
      </c>
      <c r="G394" t="s">
        <v>1596</v>
      </c>
    </row>
    <row r="395" spans="1:7" x14ac:dyDescent="0.55000000000000004">
      <c r="A395" s="1">
        <v>39841</v>
      </c>
      <c r="B395">
        <v>2009</v>
      </c>
      <c r="C395">
        <v>1</v>
      </c>
      <c r="D395" t="s">
        <v>1594</v>
      </c>
      <c r="E395" t="s">
        <v>1595</v>
      </c>
      <c r="F395">
        <v>5</v>
      </c>
      <c r="G395" t="s">
        <v>1597</v>
      </c>
    </row>
    <row r="396" spans="1:7" x14ac:dyDescent="0.55000000000000004">
      <c r="A396" s="1">
        <v>39842</v>
      </c>
      <c r="B396">
        <v>2009</v>
      </c>
      <c r="C396">
        <v>1</v>
      </c>
      <c r="D396" t="s">
        <v>1594</v>
      </c>
      <c r="E396" t="s">
        <v>1595</v>
      </c>
      <c r="F396">
        <v>5</v>
      </c>
      <c r="G396" t="s">
        <v>1598</v>
      </c>
    </row>
    <row r="397" spans="1:7" x14ac:dyDescent="0.55000000000000004">
      <c r="A397" s="1">
        <v>39843</v>
      </c>
      <c r="B397">
        <v>2009</v>
      </c>
      <c r="C397">
        <v>1</v>
      </c>
      <c r="D397" t="s">
        <v>1594</v>
      </c>
      <c r="E397" t="s">
        <v>1595</v>
      </c>
      <c r="F397">
        <v>5</v>
      </c>
      <c r="G397" t="s">
        <v>1599</v>
      </c>
    </row>
    <row r="398" spans="1:7" x14ac:dyDescent="0.55000000000000004">
      <c r="A398" s="1">
        <v>39844</v>
      </c>
      <c r="B398">
        <v>2009</v>
      </c>
      <c r="C398">
        <v>1</v>
      </c>
      <c r="D398" t="s">
        <v>1594</v>
      </c>
      <c r="E398" t="s">
        <v>1595</v>
      </c>
      <c r="F398">
        <v>5</v>
      </c>
      <c r="G398" t="s">
        <v>1600</v>
      </c>
    </row>
    <row r="399" spans="1:7" x14ac:dyDescent="0.55000000000000004">
      <c r="A399" s="1">
        <v>39845</v>
      </c>
      <c r="B399">
        <v>2009</v>
      </c>
      <c r="C399">
        <v>2</v>
      </c>
      <c r="D399" t="s">
        <v>1603</v>
      </c>
      <c r="E399" t="s">
        <v>1595</v>
      </c>
      <c r="F399">
        <v>6</v>
      </c>
      <c r="G399" t="s">
        <v>1601</v>
      </c>
    </row>
    <row r="400" spans="1:7" x14ac:dyDescent="0.55000000000000004">
      <c r="A400" s="1">
        <v>39846</v>
      </c>
      <c r="B400">
        <v>2009</v>
      </c>
      <c r="C400">
        <v>2</v>
      </c>
      <c r="D400" t="s">
        <v>1603</v>
      </c>
      <c r="E400" t="s">
        <v>1595</v>
      </c>
      <c r="F400">
        <v>6</v>
      </c>
      <c r="G400" t="s">
        <v>1602</v>
      </c>
    </row>
    <row r="401" spans="1:7" x14ac:dyDescent="0.55000000000000004">
      <c r="A401" s="1">
        <v>39847</v>
      </c>
      <c r="B401">
        <v>2009</v>
      </c>
      <c r="C401">
        <v>2</v>
      </c>
      <c r="D401" t="s">
        <v>1603</v>
      </c>
      <c r="E401" t="s">
        <v>1595</v>
      </c>
      <c r="F401">
        <v>6</v>
      </c>
      <c r="G401" t="s">
        <v>1596</v>
      </c>
    </row>
    <row r="402" spans="1:7" x14ac:dyDescent="0.55000000000000004">
      <c r="A402" s="1">
        <v>39848</v>
      </c>
      <c r="B402">
        <v>2009</v>
      </c>
      <c r="C402">
        <v>2</v>
      </c>
      <c r="D402" t="s">
        <v>1603</v>
      </c>
      <c r="E402" t="s">
        <v>1595</v>
      </c>
      <c r="F402">
        <v>6</v>
      </c>
      <c r="G402" t="s">
        <v>1597</v>
      </c>
    </row>
    <row r="403" spans="1:7" x14ac:dyDescent="0.55000000000000004">
      <c r="A403" s="1">
        <v>39849</v>
      </c>
      <c r="B403">
        <v>2009</v>
      </c>
      <c r="C403">
        <v>2</v>
      </c>
      <c r="D403" t="s">
        <v>1603</v>
      </c>
      <c r="E403" t="s">
        <v>1595</v>
      </c>
      <c r="F403">
        <v>6</v>
      </c>
      <c r="G403" t="s">
        <v>1598</v>
      </c>
    </row>
    <row r="404" spans="1:7" x14ac:dyDescent="0.55000000000000004">
      <c r="A404" s="1">
        <v>39850</v>
      </c>
      <c r="B404">
        <v>2009</v>
      </c>
      <c r="C404">
        <v>2</v>
      </c>
      <c r="D404" t="s">
        <v>1603</v>
      </c>
      <c r="E404" t="s">
        <v>1595</v>
      </c>
      <c r="F404">
        <v>6</v>
      </c>
      <c r="G404" t="s">
        <v>1599</v>
      </c>
    </row>
    <row r="405" spans="1:7" x14ac:dyDescent="0.55000000000000004">
      <c r="A405" s="1">
        <v>39851</v>
      </c>
      <c r="B405">
        <v>2009</v>
      </c>
      <c r="C405">
        <v>2</v>
      </c>
      <c r="D405" t="s">
        <v>1603</v>
      </c>
      <c r="E405" t="s">
        <v>1595</v>
      </c>
      <c r="F405">
        <v>6</v>
      </c>
      <c r="G405" t="s">
        <v>1600</v>
      </c>
    </row>
    <row r="406" spans="1:7" x14ac:dyDescent="0.55000000000000004">
      <c r="A406" s="1">
        <v>39852</v>
      </c>
      <c r="B406">
        <v>2009</v>
      </c>
      <c r="C406">
        <v>2</v>
      </c>
      <c r="D406" t="s">
        <v>1603</v>
      </c>
      <c r="E406" t="s">
        <v>1595</v>
      </c>
      <c r="F406">
        <v>7</v>
      </c>
      <c r="G406" t="s">
        <v>1601</v>
      </c>
    </row>
    <row r="407" spans="1:7" x14ac:dyDescent="0.55000000000000004">
      <c r="A407" s="1">
        <v>39853</v>
      </c>
      <c r="B407">
        <v>2009</v>
      </c>
      <c r="C407">
        <v>2</v>
      </c>
      <c r="D407" t="s">
        <v>1603</v>
      </c>
      <c r="E407" t="s">
        <v>1595</v>
      </c>
      <c r="F407">
        <v>7</v>
      </c>
      <c r="G407" t="s">
        <v>1602</v>
      </c>
    </row>
    <row r="408" spans="1:7" x14ac:dyDescent="0.55000000000000004">
      <c r="A408" s="1">
        <v>39854</v>
      </c>
      <c r="B408">
        <v>2009</v>
      </c>
      <c r="C408">
        <v>2</v>
      </c>
      <c r="D408" t="s">
        <v>1603</v>
      </c>
      <c r="E408" t="s">
        <v>1595</v>
      </c>
      <c r="F408">
        <v>7</v>
      </c>
      <c r="G408" t="s">
        <v>1596</v>
      </c>
    </row>
    <row r="409" spans="1:7" x14ac:dyDescent="0.55000000000000004">
      <c r="A409" s="1">
        <v>39855</v>
      </c>
      <c r="B409">
        <v>2009</v>
      </c>
      <c r="C409">
        <v>2</v>
      </c>
      <c r="D409" t="s">
        <v>1603</v>
      </c>
      <c r="E409" t="s">
        <v>1595</v>
      </c>
      <c r="F409">
        <v>7</v>
      </c>
      <c r="G409" t="s">
        <v>1597</v>
      </c>
    </row>
    <row r="410" spans="1:7" x14ac:dyDescent="0.55000000000000004">
      <c r="A410" s="1">
        <v>39856</v>
      </c>
      <c r="B410">
        <v>2009</v>
      </c>
      <c r="C410">
        <v>2</v>
      </c>
      <c r="D410" t="s">
        <v>1603</v>
      </c>
      <c r="E410" t="s">
        <v>1595</v>
      </c>
      <c r="F410">
        <v>7</v>
      </c>
      <c r="G410" t="s">
        <v>1598</v>
      </c>
    </row>
    <row r="411" spans="1:7" x14ac:dyDescent="0.55000000000000004">
      <c r="A411" s="1">
        <v>39857</v>
      </c>
      <c r="B411">
        <v>2009</v>
      </c>
      <c r="C411">
        <v>2</v>
      </c>
      <c r="D411" t="s">
        <v>1603</v>
      </c>
      <c r="E411" t="s">
        <v>1595</v>
      </c>
      <c r="F411">
        <v>7</v>
      </c>
      <c r="G411" t="s">
        <v>1599</v>
      </c>
    </row>
    <row r="412" spans="1:7" x14ac:dyDescent="0.55000000000000004">
      <c r="A412" s="1">
        <v>39858</v>
      </c>
      <c r="B412">
        <v>2009</v>
      </c>
      <c r="C412">
        <v>2</v>
      </c>
      <c r="D412" t="s">
        <v>1603</v>
      </c>
      <c r="E412" t="s">
        <v>1595</v>
      </c>
      <c r="F412">
        <v>7</v>
      </c>
      <c r="G412" t="s">
        <v>1600</v>
      </c>
    </row>
    <row r="413" spans="1:7" x14ac:dyDescent="0.55000000000000004">
      <c r="A413" s="1">
        <v>39859</v>
      </c>
      <c r="B413">
        <v>2009</v>
      </c>
      <c r="C413">
        <v>2</v>
      </c>
      <c r="D413" t="s">
        <v>1603</v>
      </c>
      <c r="E413" t="s">
        <v>1595</v>
      </c>
      <c r="F413">
        <v>8</v>
      </c>
      <c r="G413" t="s">
        <v>1601</v>
      </c>
    </row>
    <row r="414" spans="1:7" x14ac:dyDescent="0.55000000000000004">
      <c r="A414" s="1">
        <v>39860</v>
      </c>
      <c r="B414">
        <v>2009</v>
      </c>
      <c r="C414">
        <v>2</v>
      </c>
      <c r="D414" t="s">
        <v>1603</v>
      </c>
      <c r="E414" t="s">
        <v>1595</v>
      </c>
      <c r="F414">
        <v>8</v>
      </c>
      <c r="G414" t="s">
        <v>1602</v>
      </c>
    </row>
    <row r="415" spans="1:7" x14ac:dyDescent="0.55000000000000004">
      <c r="A415" s="1">
        <v>39861</v>
      </c>
      <c r="B415">
        <v>2009</v>
      </c>
      <c r="C415">
        <v>2</v>
      </c>
      <c r="D415" t="s">
        <v>1603</v>
      </c>
      <c r="E415" t="s">
        <v>1595</v>
      </c>
      <c r="F415">
        <v>8</v>
      </c>
      <c r="G415" t="s">
        <v>1596</v>
      </c>
    </row>
    <row r="416" spans="1:7" x14ac:dyDescent="0.55000000000000004">
      <c r="A416" s="1">
        <v>39862</v>
      </c>
      <c r="B416">
        <v>2009</v>
      </c>
      <c r="C416">
        <v>2</v>
      </c>
      <c r="D416" t="s">
        <v>1603</v>
      </c>
      <c r="E416" t="s">
        <v>1595</v>
      </c>
      <c r="F416">
        <v>8</v>
      </c>
      <c r="G416" t="s">
        <v>1597</v>
      </c>
    </row>
    <row r="417" spans="1:7" x14ac:dyDescent="0.55000000000000004">
      <c r="A417" s="1">
        <v>39863</v>
      </c>
      <c r="B417">
        <v>2009</v>
      </c>
      <c r="C417">
        <v>2</v>
      </c>
      <c r="D417" t="s">
        <v>1603</v>
      </c>
      <c r="E417" t="s">
        <v>1595</v>
      </c>
      <c r="F417">
        <v>8</v>
      </c>
      <c r="G417" t="s">
        <v>1598</v>
      </c>
    </row>
    <row r="418" spans="1:7" x14ac:dyDescent="0.55000000000000004">
      <c r="A418" s="1">
        <v>39864</v>
      </c>
      <c r="B418">
        <v>2009</v>
      </c>
      <c r="C418">
        <v>2</v>
      </c>
      <c r="D418" t="s">
        <v>1603</v>
      </c>
      <c r="E418" t="s">
        <v>1595</v>
      </c>
      <c r="F418">
        <v>8</v>
      </c>
      <c r="G418" t="s">
        <v>1599</v>
      </c>
    </row>
    <row r="419" spans="1:7" x14ac:dyDescent="0.55000000000000004">
      <c r="A419" s="1">
        <v>39865</v>
      </c>
      <c r="B419">
        <v>2009</v>
      </c>
      <c r="C419">
        <v>2</v>
      </c>
      <c r="D419" t="s">
        <v>1603</v>
      </c>
      <c r="E419" t="s">
        <v>1595</v>
      </c>
      <c r="F419">
        <v>8</v>
      </c>
      <c r="G419" t="s">
        <v>1600</v>
      </c>
    </row>
    <row r="420" spans="1:7" x14ac:dyDescent="0.55000000000000004">
      <c r="A420" s="1">
        <v>39866</v>
      </c>
      <c r="B420">
        <v>2009</v>
      </c>
      <c r="C420">
        <v>2</v>
      </c>
      <c r="D420" t="s">
        <v>1603</v>
      </c>
      <c r="E420" t="s">
        <v>1595</v>
      </c>
      <c r="F420">
        <v>9</v>
      </c>
      <c r="G420" t="s">
        <v>1601</v>
      </c>
    </row>
    <row r="421" spans="1:7" x14ac:dyDescent="0.55000000000000004">
      <c r="A421" s="1">
        <v>39867</v>
      </c>
      <c r="B421">
        <v>2009</v>
      </c>
      <c r="C421">
        <v>2</v>
      </c>
      <c r="D421" t="s">
        <v>1603</v>
      </c>
      <c r="E421" t="s">
        <v>1595</v>
      </c>
      <c r="F421">
        <v>9</v>
      </c>
      <c r="G421" t="s">
        <v>1602</v>
      </c>
    </row>
    <row r="422" spans="1:7" x14ac:dyDescent="0.55000000000000004">
      <c r="A422" s="1">
        <v>39868</v>
      </c>
      <c r="B422">
        <v>2009</v>
      </c>
      <c r="C422">
        <v>2</v>
      </c>
      <c r="D422" t="s">
        <v>1603</v>
      </c>
      <c r="E422" t="s">
        <v>1595</v>
      </c>
      <c r="F422">
        <v>9</v>
      </c>
      <c r="G422" t="s">
        <v>1596</v>
      </c>
    </row>
    <row r="423" spans="1:7" x14ac:dyDescent="0.55000000000000004">
      <c r="A423" s="1">
        <v>39869</v>
      </c>
      <c r="B423">
        <v>2009</v>
      </c>
      <c r="C423">
        <v>2</v>
      </c>
      <c r="D423" t="s">
        <v>1603</v>
      </c>
      <c r="E423" t="s">
        <v>1595</v>
      </c>
      <c r="F423">
        <v>9</v>
      </c>
      <c r="G423" t="s">
        <v>1597</v>
      </c>
    </row>
    <row r="424" spans="1:7" x14ac:dyDescent="0.55000000000000004">
      <c r="A424" s="1">
        <v>39870</v>
      </c>
      <c r="B424">
        <v>2009</v>
      </c>
      <c r="C424">
        <v>2</v>
      </c>
      <c r="D424" t="s">
        <v>1603</v>
      </c>
      <c r="E424" t="s">
        <v>1595</v>
      </c>
      <c r="F424">
        <v>9</v>
      </c>
      <c r="G424" t="s">
        <v>1598</v>
      </c>
    </row>
    <row r="425" spans="1:7" x14ac:dyDescent="0.55000000000000004">
      <c r="A425" s="1">
        <v>39871</v>
      </c>
      <c r="B425">
        <v>2009</v>
      </c>
      <c r="C425">
        <v>2</v>
      </c>
      <c r="D425" t="s">
        <v>1603</v>
      </c>
      <c r="E425" t="s">
        <v>1595</v>
      </c>
      <c r="F425">
        <v>9</v>
      </c>
      <c r="G425" t="s">
        <v>1599</v>
      </c>
    </row>
    <row r="426" spans="1:7" x14ac:dyDescent="0.55000000000000004">
      <c r="A426" s="1">
        <v>39872</v>
      </c>
      <c r="B426">
        <v>2009</v>
      </c>
      <c r="C426">
        <v>2</v>
      </c>
      <c r="D426" t="s">
        <v>1603</v>
      </c>
      <c r="E426" t="s">
        <v>1595</v>
      </c>
      <c r="F426">
        <v>9</v>
      </c>
      <c r="G426" t="s">
        <v>1600</v>
      </c>
    </row>
    <row r="427" spans="1:7" x14ac:dyDescent="0.55000000000000004">
      <c r="A427" s="1">
        <v>39873</v>
      </c>
      <c r="B427">
        <v>2009</v>
      </c>
      <c r="C427">
        <v>3</v>
      </c>
      <c r="D427" t="s">
        <v>1604</v>
      </c>
      <c r="E427" t="s">
        <v>1595</v>
      </c>
      <c r="F427">
        <v>10</v>
      </c>
      <c r="G427" t="s">
        <v>1601</v>
      </c>
    </row>
    <row r="428" spans="1:7" x14ac:dyDescent="0.55000000000000004">
      <c r="A428" s="1">
        <v>39874</v>
      </c>
      <c r="B428">
        <v>2009</v>
      </c>
      <c r="C428">
        <v>3</v>
      </c>
      <c r="D428" t="s">
        <v>1604</v>
      </c>
      <c r="E428" t="s">
        <v>1595</v>
      </c>
      <c r="F428">
        <v>10</v>
      </c>
      <c r="G428" t="s">
        <v>1602</v>
      </c>
    </row>
    <row r="429" spans="1:7" x14ac:dyDescent="0.55000000000000004">
      <c r="A429" s="1">
        <v>39875</v>
      </c>
      <c r="B429">
        <v>2009</v>
      </c>
      <c r="C429">
        <v>3</v>
      </c>
      <c r="D429" t="s">
        <v>1604</v>
      </c>
      <c r="E429" t="s">
        <v>1595</v>
      </c>
      <c r="F429">
        <v>10</v>
      </c>
      <c r="G429" t="s">
        <v>1596</v>
      </c>
    </row>
    <row r="430" spans="1:7" x14ac:dyDescent="0.55000000000000004">
      <c r="A430" s="1">
        <v>39876</v>
      </c>
      <c r="B430">
        <v>2009</v>
      </c>
      <c r="C430">
        <v>3</v>
      </c>
      <c r="D430" t="s">
        <v>1604</v>
      </c>
      <c r="E430" t="s">
        <v>1595</v>
      </c>
      <c r="F430">
        <v>10</v>
      </c>
      <c r="G430" t="s">
        <v>1597</v>
      </c>
    </row>
    <row r="431" spans="1:7" x14ac:dyDescent="0.55000000000000004">
      <c r="A431" s="1">
        <v>39877</v>
      </c>
      <c r="B431">
        <v>2009</v>
      </c>
      <c r="C431">
        <v>3</v>
      </c>
      <c r="D431" t="s">
        <v>1604</v>
      </c>
      <c r="E431" t="s">
        <v>1595</v>
      </c>
      <c r="F431">
        <v>10</v>
      </c>
      <c r="G431" t="s">
        <v>1598</v>
      </c>
    </row>
    <row r="432" spans="1:7" x14ac:dyDescent="0.55000000000000004">
      <c r="A432" s="1">
        <v>39878</v>
      </c>
      <c r="B432">
        <v>2009</v>
      </c>
      <c r="C432">
        <v>3</v>
      </c>
      <c r="D432" t="s">
        <v>1604</v>
      </c>
      <c r="E432" t="s">
        <v>1595</v>
      </c>
      <c r="F432">
        <v>10</v>
      </c>
      <c r="G432" t="s">
        <v>1599</v>
      </c>
    </row>
    <row r="433" spans="1:7" x14ac:dyDescent="0.55000000000000004">
      <c r="A433" s="1">
        <v>39879</v>
      </c>
      <c r="B433">
        <v>2009</v>
      </c>
      <c r="C433">
        <v>3</v>
      </c>
      <c r="D433" t="s">
        <v>1604</v>
      </c>
      <c r="E433" t="s">
        <v>1595</v>
      </c>
      <c r="F433">
        <v>10</v>
      </c>
      <c r="G433" t="s">
        <v>1600</v>
      </c>
    </row>
    <row r="434" spans="1:7" x14ac:dyDescent="0.55000000000000004">
      <c r="A434" s="1">
        <v>39880</v>
      </c>
      <c r="B434">
        <v>2009</v>
      </c>
      <c r="C434">
        <v>3</v>
      </c>
      <c r="D434" t="s">
        <v>1604</v>
      </c>
      <c r="E434" t="s">
        <v>1595</v>
      </c>
      <c r="F434">
        <v>11</v>
      </c>
      <c r="G434" t="s">
        <v>1601</v>
      </c>
    </row>
    <row r="435" spans="1:7" x14ac:dyDescent="0.55000000000000004">
      <c r="A435" s="1">
        <v>39881</v>
      </c>
      <c r="B435">
        <v>2009</v>
      </c>
      <c r="C435">
        <v>3</v>
      </c>
      <c r="D435" t="s">
        <v>1604</v>
      </c>
      <c r="E435" t="s">
        <v>1595</v>
      </c>
      <c r="F435">
        <v>11</v>
      </c>
      <c r="G435" t="s">
        <v>1602</v>
      </c>
    </row>
    <row r="436" spans="1:7" x14ac:dyDescent="0.55000000000000004">
      <c r="A436" s="1">
        <v>39882</v>
      </c>
      <c r="B436">
        <v>2009</v>
      </c>
      <c r="C436">
        <v>3</v>
      </c>
      <c r="D436" t="s">
        <v>1604</v>
      </c>
      <c r="E436" t="s">
        <v>1595</v>
      </c>
      <c r="F436">
        <v>11</v>
      </c>
      <c r="G436" t="s">
        <v>1596</v>
      </c>
    </row>
    <row r="437" spans="1:7" x14ac:dyDescent="0.55000000000000004">
      <c r="A437" s="1">
        <v>39883</v>
      </c>
      <c r="B437">
        <v>2009</v>
      </c>
      <c r="C437">
        <v>3</v>
      </c>
      <c r="D437" t="s">
        <v>1604</v>
      </c>
      <c r="E437" t="s">
        <v>1595</v>
      </c>
      <c r="F437">
        <v>11</v>
      </c>
      <c r="G437" t="s">
        <v>1597</v>
      </c>
    </row>
    <row r="438" spans="1:7" x14ac:dyDescent="0.55000000000000004">
      <c r="A438" s="1">
        <v>39884</v>
      </c>
      <c r="B438">
        <v>2009</v>
      </c>
      <c r="C438">
        <v>3</v>
      </c>
      <c r="D438" t="s">
        <v>1604</v>
      </c>
      <c r="E438" t="s">
        <v>1595</v>
      </c>
      <c r="F438">
        <v>11</v>
      </c>
      <c r="G438" t="s">
        <v>1598</v>
      </c>
    </row>
    <row r="439" spans="1:7" x14ac:dyDescent="0.55000000000000004">
      <c r="A439" s="1">
        <v>39885</v>
      </c>
      <c r="B439">
        <v>2009</v>
      </c>
      <c r="C439">
        <v>3</v>
      </c>
      <c r="D439" t="s">
        <v>1604</v>
      </c>
      <c r="E439" t="s">
        <v>1595</v>
      </c>
      <c r="F439">
        <v>11</v>
      </c>
      <c r="G439" t="s">
        <v>1599</v>
      </c>
    </row>
    <row r="440" spans="1:7" x14ac:dyDescent="0.55000000000000004">
      <c r="A440" s="1">
        <v>39886</v>
      </c>
      <c r="B440">
        <v>2009</v>
      </c>
      <c r="C440">
        <v>3</v>
      </c>
      <c r="D440" t="s">
        <v>1604</v>
      </c>
      <c r="E440" t="s">
        <v>1595</v>
      </c>
      <c r="F440">
        <v>11</v>
      </c>
      <c r="G440" t="s">
        <v>1600</v>
      </c>
    </row>
    <row r="441" spans="1:7" x14ac:dyDescent="0.55000000000000004">
      <c r="A441" s="1">
        <v>39887</v>
      </c>
      <c r="B441">
        <v>2009</v>
      </c>
      <c r="C441">
        <v>3</v>
      </c>
      <c r="D441" t="s">
        <v>1604</v>
      </c>
      <c r="E441" t="s">
        <v>1595</v>
      </c>
      <c r="F441">
        <v>12</v>
      </c>
      <c r="G441" t="s">
        <v>1601</v>
      </c>
    </row>
    <row r="442" spans="1:7" x14ac:dyDescent="0.55000000000000004">
      <c r="A442" s="1">
        <v>39888</v>
      </c>
      <c r="B442">
        <v>2009</v>
      </c>
      <c r="C442">
        <v>3</v>
      </c>
      <c r="D442" t="s">
        <v>1604</v>
      </c>
      <c r="E442" t="s">
        <v>1595</v>
      </c>
      <c r="F442">
        <v>12</v>
      </c>
      <c r="G442" t="s">
        <v>1602</v>
      </c>
    </row>
    <row r="443" spans="1:7" x14ac:dyDescent="0.55000000000000004">
      <c r="A443" s="1">
        <v>39889</v>
      </c>
      <c r="B443">
        <v>2009</v>
      </c>
      <c r="C443">
        <v>3</v>
      </c>
      <c r="D443" t="s">
        <v>1604</v>
      </c>
      <c r="E443" t="s">
        <v>1595</v>
      </c>
      <c r="F443">
        <v>12</v>
      </c>
      <c r="G443" t="s">
        <v>1596</v>
      </c>
    </row>
    <row r="444" spans="1:7" x14ac:dyDescent="0.55000000000000004">
      <c r="A444" s="1">
        <v>39890</v>
      </c>
      <c r="B444">
        <v>2009</v>
      </c>
      <c r="C444">
        <v>3</v>
      </c>
      <c r="D444" t="s">
        <v>1604</v>
      </c>
      <c r="E444" t="s">
        <v>1595</v>
      </c>
      <c r="F444">
        <v>12</v>
      </c>
      <c r="G444" t="s">
        <v>1597</v>
      </c>
    </row>
    <row r="445" spans="1:7" x14ac:dyDescent="0.55000000000000004">
      <c r="A445" s="1">
        <v>39891</v>
      </c>
      <c r="B445">
        <v>2009</v>
      </c>
      <c r="C445">
        <v>3</v>
      </c>
      <c r="D445" t="s">
        <v>1604</v>
      </c>
      <c r="E445" t="s">
        <v>1595</v>
      </c>
      <c r="F445">
        <v>12</v>
      </c>
      <c r="G445" t="s">
        <v>1598</v>
      </c>
    </row>
    <row r="446" spans="1:7" x14ac:dyDescent="0.55000000000000004">
      <c r="A446" s="1">
        <v>39892</v>
      </c>
      <c r="B446">
        <v>2009</v>
      </c>
      <c r="C446">
        <v>3</v>
      </c>
      <c r="D446" t="s">
        <v>1604</v>
      </c>
      <c r="E446" t="s">
        <v>1595</v>
      </c>
      <c r="F446">
        <v>12</v>
      </c>
      <c r="G446" t="s">
        <v>1599</v>
      </c>
    </row>
    <row r="447" spans="1:7" x14ac:dyDescent="0.55000000000000004">
      <c r="A447" s="1">
        <v>39893</v>
      </c>
      <c r="B447">
        <v>2009</v>
      </c>
      <c r="C447">
        <v>3</v>
      </c>
      <c r="D447" t="s">
        <v>1604</v>
      </c>
      <c r="E447" t="s">
        <v>1595</v>
      </c>
      <c r="F447">
        <v>12</v>
      </c>
      <c r="G447" t="s">
        <v>1600</v>
      </c>
    </row>
    <row r="448" spans="1:7" x14ac:dyDescent="0.55000000000000004">
      <c r="A448" s="1">
        <v>39894</v>
      </c>
      <c r="B448">
        <v>2009</v>
      </c>
      <c r="C448">
        <v>3</v>
      </c>
      <c r="D448" t="s">
        <v>1604</v>
      </c>
      <c r="E448" t="s">
        <v>1595</v>
      </c>
      <c r="F448">
        <v>13</v>
      </c>
      <c r="G448" t="s">
        <v>1601</v>
      </c>
    </row>
    <row r="449" spans="1:7" x14ac:dyDescent="0.55000000000000004">
      <c r="A449" s="1">
        <v>39895</v>
      </c>
      <c r="B449">
        <v>2009</v>
      </c>
      <c r="C449">
        <v>3</v>
      </c>
      <c r="D449" t="s">
        <v>1604</v>
      </c>
      <c r="E449" t="s">
        <v>1595</v>
      </c>
      <c r="F449">
        <v>13</v>
      </c>
      <c r="G449" t="s">
        <v>1602</v>
      </c>
    </row>
    <row r="450" spans="1:7" x14ac:dyDescent="0.55000000000000004">
      <c r="A450" s="1">
        <v>39896</v>
      </c>
      <c r="B450">
        <v>2009</v>
      </c>
      <c r="C450">
        <v>3</v>
      </c>
      <c r="D450" t="s">
        <v>1604</v>
      </c>
      <c r="E450" t="s">
        <v>1595</v>
      </c>
      <c r="F450">
        <v>13</v>
      </c>
      <c r="G450" t="s">
        <v>1596</v>
      </c>
    </row>
    <row r="451" spans="1:7" x14ac:dyDescent="0.55000000000000004">
      <c r="A451" s="1">
        <v>39897</v>
      </c>
      <c r="B451">
        <v>2009</v>
      </c>
      <c r="C451">
        <v>3</v>
      </c>
      <c r="D451" t="s">
        <v>1604</v>
      </c>
      <c r="E451" t="s">
        <v>1595</v>
      </c>
      <c r="F451">
        <v>13</v>
      </c>
      <c r="G451" t="s">
        <v>1597</v>
      </c>
    </row>
    <row r="452" spans="1:7" x14ac:dyDescent="0.55000000000000004">
      <c r="A452" s="1">
        <v>39898</v>
      </c>
      <c r="B452">
        <v>2009</v>
      </c>
      <c r="C452">
        <v>3</v>
      </c>
      <c r="D452" t="s">
        <v>1604</v>
      </c>
      <c r="E452" t="s">
        <v>1595</v>
      </c>
      <c r="F452">
        <v>13</v>
      </c>
      <c r="G452" t="s">
        <v>1598</v>
      </c>
    </row>
    <row r="453" spans="1:7" x14ac:dyDescent="0.55000000000000004">
      <c r="A453" s="1">
        <v>39899</v>
      </c>
      <c r="B453">
        <v>2009</v>
      </c>
      <c r="C453">
        <v>3</v>
      </c>
      <c r="D453" t="s">
        <v>1604</v>
      </c>
      <c r="E453" t="s">
        <v>1595</v>
      </c>
      <c r="F453">
        <v>13</v>
      </c>
      <c r="G453" t="s">
        <v>1599</v>
      </c>
    </row>
    <row r="454" spans="1:7" x14ac:dyDescent="0.55000000000000004">
      <c r="A454" s="1">
        <v>39900</v>
      </c>
      <c r="B454">
        <v>2009</v>
      </c>
      <c r="C454">
        <v>3</v>
      </c>
      <c r="D454" t="s">
        <v>1604</v>
      </c>
      <c r="E454" t="s">
        <v>1595</v>
      </c>
      <c r="F454">
        <v>13</v>
      </c>
      <c r="G454" t="s">
        <v>1600</v>
      </c>
    </row>
    <row r="455" spans="1:7" x14ac:dyDescent="0.55000000000000004">
      <c r="A455" s="1">
        <v>39901</v>
      </c>
      <c r="B455">
        <v>2009</v>
      </c>
      <c r="C455">
        <v>3</v>
      </c>
      <c r="D455" t="s">
        <v>1604</v>
      </c>
      <c r="E455" t="s">
        <v>1595</v>
      </c>
      <c r="F455">
        <v>14</v>
      </c>
      <c r="G455" t="s">
        <v>1601</v>
      </c>
    </row>
    <row r="456" spans="1:7" x14ac:dyDescent="0.55000000000000004">
      <c r="A456" s="1">
        <v>39902</v>
      </c>
      <c r="B456">
        <v>2009</v>
      </c>
      <c r="C456">
        <v>3</v>
      </c>
      <c r="D456" t="s">
        <v>1604</v>
      </c>
      <c r="E456" t="s">
        <v>1595</v>
      </c>
      <c r="F456">
        <v>14</v>
      </c>
      <c r="G456" t="s">
        <v>1602</v>
      </c>
    </row>
    <row r="457" spans="1:7" x14ac:dyDescent="0.55000000000000004">
      <c r="A457" s="1">
        <v>39903</v>
      </c>
      <c r="B457">
        <v>2009</v>
      </c>
      <c r="C457">
        <v>3</v>
      </c>
      <c r="D457" t="s">
        <v>1604</v>
      </c>
      <c r="E457" t="s">
        <v>1595</v>
      </c>
      <c r="F457">
        <v>14</v>
      </c>
      <c r="G457" t="s">
        <v>1596</v>
      </c>
    </row>
    <row r="458" spans="1:7" x14ac:dyDescent="0.55000000000000004">
      <c r="A458" s="1">
        <v>39904</v>
      </c>
      <c r="B458">
        <v>2009</v>
      </c>
      <c r="C458">
        <v>4</v>
      </c>
      <c r="D458" t="s">
        <v>1605</v>
      </c>
      <c r="E458" t="s">
        <v>1606</v>
      </c>
      <c r="F458">
        <v>14</v>
      </c>
      <c r="G458" t="s">
        <v>1597</v>
      </c>
    </row>
    <row r="459" spans="1:7" x14ac:dyDescent="0.55000000000000004">
      <c r="A459" s="1">
        <v>39905</v>
      </c>
      <c r="B459">
        <v>2009</v>
      </c>
      <c r="C459">
        <v>4</v>
      </c>
      <c r="D459" t="s">
        <v>1605</v>
      </c>
      <c r="E459" t="s">
        <v>1606</v>
      </c>
      <c r="F459">
        <v>14</v>
      </c>
      <c r="G459" t="s">
        <v>1598</v>
      </c>
    </row>
    <row r="460" spans="1:7" x14ac:dyDescent="0.55000000000000004">
      <c r="A460" s="1">
        <v>39906</v>
      </c>
      <c r="B460">
        <v>2009</v>
      </c>
      <c r="C460">
        <v>4</v>
      </c>
      <c r="D460" t="s">
        <v>1605</v>
      </c>
      <c r="E460" t="s">
        <v>1606</v>
      </c>
      <c r="F460">
        <v>14</v>
      </c>
      <c r="G460" t="s">
        <v>1599</v>
      </c>
    </row>
    <row r="461" spans="1:7" x14ac:dyDescent="0.55000000000000004">
      <c r="A461" s="1">
        <v>39907</v>
      </c>
      <c r="B461">
        <v>2009</v>
      </c>
      <c r="C461">
        <v>4</v>
      </c>
      <c r="D461" t="s">
        <v>1605</v>
      </c>
      <c r="E461" t="s">
        <v>1606</v>
      </c>
      <c r="F461">
        <v>14</v>
      </c>
      <c r="G461" t="s">
        <v>1600</v>
      </c>
    </row>
    <row r="462" spans="1:7" x14ac:dyDescent="0.55000000000000004">
      <c r="A462" s="1">
        <v>39908</v>
      </c>
      <c r="B462">
        <v>2009</v>
      </c>
      <c r="C462">
        <v>4</v>
      </c>
      <c r="D462" t="s">
        <v>1605</v>
      </c>
      <c r="E462" t="s">
        <v>1606</v>
      </c>
      <c r="F462">
        <v>15</v>
      </c>
      <c r="G462" t="s">
        <v>1601</v>
      </c>
    </row>
    <row r="463" spans="1:7" x14ac:dyDescent="0.55000000000000004">
      <c r="A463" s="1">
        <v>39909</v>
      </c>
      <c r="B463">
        <v>2009</v>
      </c>
      <c r="C463">
        <v>4</v>
      </c>
      <c r="D463" t="s">
        <v>1605</v>
      </c>
      <c r="E463" t="s">
        <v>1606</v>
      </c>
      <c r="F463">
        <v>15</v>
      </c>
      <c r="G463" t="s">
        <v>1602</v>
      </c>
    </row>
    <row r="464" spans="1:7" x14ac:dyDescent="0.55000000000000004">
      <c r="A464" s="1">
        <v>39910</v>
      </c>
      <c r="B464">
        <v>2009</v>
      </c>
      <c r="C464">
        <v>4</v>
      </c>
      <c r="D464" t="s">
        <v>1605</v>
      </c>
      <c r="E464" t="s">
        <v>1606</v>
      </c>
      <c r="F464">
        <v>15</v>
      </c>
      <c r="G464" t="s">
        <v>1596</v>
      </c>
    </row>
    <row r="465" spans="1:7" x14ac:dyDescent="0.55000000000000004">
      <c r="A465" s="1">
        <v>39911</v>
      </c>
      <c r="B465">
        <v>2009</v>
      </c>
      <c r="C465">
        <v>4</v>
      </c>
      <c r="D465" t="s">
        <v>1605</v>
      </c>
      <c r="E465" t="s">
        <v>1606</v>
      </c>
      <c r="F465">
        <v>15</v>
      </c>
      <c r="G465" t="s">
        <v>1597</v>
      </c>
    </row>
    <row r="466" spans="1:7" x14ac:dyDescent="0.55000000000000004">
      <c r="A466" s="1">
        <v>39912</v>
      </c>
      <c r="B466">
        <v>2009</v>
      </c>
      <c r="C466">
        <v>4</v>
      </c>
      <c r="D466" t="s">
        <v>1605</v>
      </c>
      <c r="E466" t="s">
        <v>1606</v>
      </c>
      <c r="F466">
        <v>15</v>
      </c>
      <c r="G466" t="s">
        <v>1598</v>
      </c>
    </row>
    <row r="467" spans="1:7" x14ac:dyDescent="0.55000000000000004">
      <c r="A467" s="1">
        <v>39913</v>
      </c>
      <c r="B467">
        <v>2009</v>
      </c>
      <c r="C467">
        <v>4</v>
      </c>
      <c r="D467" t="s">
        <v>1605</v>
      </c>
      <c r="E467" t="s">
        <v>1606</v>
      </c>
      <c r="F467">
        <v>15</v>
      </c>
      <c r="G467" t="s">
        <v>1599</v>
      </c>
    </row>
    <row r="468" spans="1:7" x14ac:dyDescent="0.55000000000000004">
      <c r="A468" s="1">
        <v>39914</v>
      </c>
      <c r="B468">
        <v>2009</v>
      </c>
      <c r="C468">
        <v>4</v>
      </c>
      <c r="D468" t="s">
        <v>1605</v>
      </c>
      <c r="E468" t="s">
        <v>1606</v>
      </c>
      <c r="F468">
        <v>15</v>
      </c>
      <c r="G468" t="s">
        <v>1600</v>
      </c>
    </row>
    <row r="469" spans="1:7" x14ac:dyDescent="0.55000000000000004">
      <c r="A469" s="1">
        <v>39915</v>
      </c>
      <c r="B469">
        <v>2009</v>
      </c>
      <c r="C469">
        <v>4</v>
      </c>
      <c r="D469" t="s">
        <v>1605</v>
      </c>
      <c r="E469" t="s">
        <v>1606</v>
      </c>
      <c r="F469">
        <v>16</v>
      </c>
      <c r="G469" t="s">
        <v>1601</v>
      </c>
    </row>
    <row r="470" spans="1:7" x14ac:dyDescent="0.55000000000000004">
      <c r="A470" s="1">
        <v>39916</v>
      </c>
      <c r="B470">
        <v>2009</v>
      </c>
      <c r="C470">
        <v>4</v>
      </c>
      <c r="D470" t="s">
        <v>1605</v>
      </c>
      <c r="E470" t="s">
        <v>1606</v>
      </c>
      <c r="F470">
        <v>16</v>
      </c>
      <c r="G470" t="s">
        <v>1602</v>
      </c>
    </row>
    <row r="471" spans="1:7" x14ac:dyDescent="0.55000000000000004">
      <c r="A471" s="1">
        <v>39917</v>
      </c>
      <c r="B471">
        <v>2009</v>
      </c>
      <c r="C471">
        <v>4</v>
      </c>
      <c r="D471" t="s">
        <v>1605</v>
      </c>
      <c r="E471" t="s">
        <v>1606</v>
      </c>
      <c r="F471">
        <v>16</v>
      </c>
      <c r="G471" t="s">
        <v>1596</v>
      </c>
    </row>
    <row r="472" spans="1:7" x14ac:dyDescent="0.55000000000000004">
      <c r="A472" s="1">
        <v>39918</v>
      </c>
      <c r="B472">
        <v>2009</v>
      </c>
      <c r="C472">
        <v>4</v>
      </c>
      <c r="D472" t="s">
        <v>1605</v>
      </c>
      <c r="E472" t="s">
        <v>1606</v>
      </c>
      <c r="F472">
        <v>16</v>
      </c>
      <c r="G472" t="s">
        <v>1597</v>
      </c>
    </row>
    <row r="473" spans="1:7" x14ac:dyDescent="0.55000000000000004">
      <c r="A473" s="1">
        <v>39919</v>
      </c>
      <c r="B473">
        <v>2009</v>
      </c>
      <c r="C473">
        <v>4</v>
      </c>
      <c r="D473" t="s">
        <v>1605</v>
      </c>
      <c r="E473" t="s">
        <v>1606</v>
      </c>
      <c r="F473">
        <v>16</v>
      </c>
      <c r="G473" t="s">
        <v>1598</v>
      </c>
    </row>
    <row r="474" spans="1:7" x14ac:dyDescent="0.55000000000000004">
      <c r="A474" s="1">
        <v>39920</v>
      </c>
      <c r="B474">
        <v>2009</v>
      </c>
      <c r="C474">
        <v>4</v>
      </c>
      <c r="D474" t="s">
        <v>1605</v>
      </c>
      <c r="E474" t="s">
        <v>1606</v>
      </c>
      <c r="F474">
        <v>16</v>
      </c>
      <c r="G474" t="s">
        <v>1599</v>
      </c>
    </row>
    <row r="475" spans="1:7" x14ac:dyDescent="0.55000000000000004">
      <c r="A475" s="1">
        <v>39921</v>
      </c>
      <c r="B475">
        <v>2009</v>
      </c>
      <c r="C475">
        <v>4</v>
      </c>
      <c r="D475" t="s">
        <v>1605</v>
      </c>
      <c r="E475" t="s">
        <v>1606</v>
      </c>
      <c r="F475">
        <v>16</v>
      </c>
      <c r="G475" t="s">
        <v>1600</v>
      </c>
    </row>
    <row r="476" spans="1:7" x14ac:dyDescent="0.55000000000000004">
      <c r="A476" s="1">
        <v>39922</v>
      </c>
      <c r="B476">
        <v>2009</v>
      </c>
      <c r="C476">
        <v>4</v>
      </c>
      <c r="D476" t="s">
        <v>1605</v>
      </c>
      <c r="E476" t="s">
        <v>1606</v>
      </c>
      <c r="F476">
        <v>17</v>
      </c>
      <c r="G476" t="s">
        <v>1601</v>
      </c>
    </row>
    <row r="477" spans="1:7" x14ac:dyDescent="0.55000000000000004">
      <c r="A477" s="1">
        <v>39923</v>
      </c>
      <c r="B477">
        <v>2009</v>
      </c>
      <c r="C477">
        <v>4</v>
      </c>
      <c r="D477" t="s">
        <v>1605</v>
      </c>
      <c r="E477" t="s">
        <v>1606</v>
      </c>
      <c r="F477">
        <v>17</v>
      </c>
      <c r="G477" t="s">
        <v>1602</v>
      </c>
    </row>
    <row r="478" spans="1:7" x14ac:dyDescent="0.55000000000000004">
      <c r="A478" s="1">
        <v>39924</v>
      </c>
      <c r="B478">
        <v>2009</v>
      </c>
      <c r="C478">
        <v>4</v>
      </c>
      <c r="D478" t="s">
        <v>1605</v>
      </c>
      <c r="E478" t="s">
        <v>1606</v>
      </c>
      <c r="F478">
        <v>17</v>
      </c>
      <c r="G478" t="s">
        <v>1596</v>
      </c>
    </row>
    <row r="479" spans="1:7" x14ac:dyDescent="0.55000000000000004">
      <c r="A479" s="1">
        <v>39925</v>
      </c>
      <c r="B479">
        <v>2009</v>
      </c>
      <c r="C479">
        <v>4</v>
      </c>
      <c r="D479" t="s">
        <v>1605</v>
      </c>
      <c r="E479" t="s">
        <v>1606</v>
      </c>
      <c r="F479">
        <v>17</v>
      </c>
      <c r="G479" t="s">
        <v>1597</v>
      </c>
    </row>
    <row r="480" spans="1:7" x14ac:dyDescent="0.55000000000000004">
      <c r="A480" s="1">
        <v>39926</v>
      </c>
      <c r="B480">
        <v>2009</v>
      </c>
      <c r="C480">
        <v>4</v>
      </c>
      <c r="D480" t="s">
        <v>1605</v>
      </c>
      <c r="E480" t="s">
        <v>1606</v>
      </c>
      <c r="F480">
        <v>17</v>
      </c>
      <c r="G480" t="s">
        <v>1598</v>
      </c>
    </row>
    <row r="481" spans="1:7" x14ac:dyDescent="0.55000000000000004">
      <c r="A481" s="1">
        <v>39927</v>
      </c>
      <c r="B481">
        <v>2009</v>
      </c>
      <c r="C481">
        <v>4</v>
      </c>
      <c r="D481" t="s">
        <v>1605</v>
      </c>
      <c r="E481" t="s">
        <v>1606</v>
      </c>
      <c r="F481">
        <v>17</v>
      </c>
      <c r="G481" t="s">
        <v>1599</v>
      </c>
    </row>
    <row r="482" spans="1:7" x14ac:dyDescent="0.55000000000000004">
      <c r="A482" s="1">
        <v>39928</v>
      </c>
      <c r="B482">
        <v>2009</v>
      </c>
      <c r="C482">
        <v>4</v>
      </c>
      <c r="D482" t="s">
        <v>1605</v>
      </c>
      <c r="E482" t="s">
        <v>1606</v>
      </c>
      <c r="F482">
        <v>17</v>
      </c>
      <c r="G482" t="s">
        <v>1600</v>
      </c>
    </row>
    <row r="483" spans="1:7" x14ac:dyDescent="0.55000000000000004">
      <c r="A483" s="1">
        <v>39929</v>
      </c>
      <c r="B483">
        <v>2009</v>
      </c>
      <c r="C483">
        <v>4</v>
      </c>
      <c r="D483" t="s">
        <v>1605</v>
      </c>
      <c r="E483" t="s">
        <v>1606</v>
      </c>
      <c r="F483">
        <v>18</v>
      </c>
      <c r="G483" t="s">
        <v>1601</v>
      </c>
    </row>
    <row r="484" spans="1:7" x14ac:dyDescent="0.55000000000000004">
      <c r="A484" s="1">
        <v>39930</v>
      </c>
      <c r="B484">
        <v>2009</v>
      </c>
      <c r="C484">
        <v>4</v>
      </c>
      <c r="D484" t="s">
        <v>1605</v>
      </c>
      <c r="E484" t="s">
        <v>1606</v>
      </c>
      <c r="F484">
        <v>18</v>
      </c>
      <c r="G484" t="s">
        <v>1602</v>
      </c>
    </row>
    <row r="485" spans="1:7" x14ac:dyDescent="0.55000000000000004">
      <c r="A485" s="1">
        <v>39931</v>
      </c>
      <c r="B485">
        <v>2009</v>
      </c>
      <c r="C485">
        <v>4</v>
      </c>
      <c r="D485" t="s">
        <v>1605</v>
      </c>
      <c r="E485" t="s">
        <v>1606</v>
      </c>
      <c r="F485">
        <v>18</v>
      </c>
      <c r="G485" t="s">
        <v>1596</v>
      </c>
    </row>
    <row r="486" spans="1:7" x14ac:dyDescent="0.55000000000000004">
      <c r="A486" s="1">
        <v>39932</v>
      </c>
      <c r="B486">
        <v>2009</v>
      </c>
      <c r="C486">
        <v>4</v>
      </c>
      <c r="D486" t="s">
        <v>1605</v>
      </c>
      <c r="E486" t="s">
        <v>1606</v>
      </c>
      <c r="F486">
        <v>18</v>
      </c>
      <c r="G486" t="s">
        <v>1597</v>
      </c>
    </row>
    <row r="487" spans="1:7" x14ac:dyDescent="0.55000000000000004">
      <c r="A487" s="1">
        <v>39933</v>
      </c>
      <c r="B487">
        <v>2009</v>
      </c>
      <c r="C487">
        <v>4</v>
      </c>
      <c r="D487" t="s">
        <v>1605</v>
      </c>
      <c r="E487" t="s">
        <v>1606</v>
      </c>
      <c r="F487">
        <v>18</v>
      </c>
      <c r="G487" t="s">
        <v>1598</v>
      </c>
    </row>
    <row r="488" spans="1:7" x14ac:dyDescent="0.55000000000000004">
      <c r="A488" s="1">
        <v>39934</v>
      </c>
      <c r="B488">
        <v>2009</v>
      </c>
      <c r="C488">
        <v>5</v>
      </c>
      <c r="D488" t="s">
        <v>1607</v>
      </c>
      <c r="E488" t="s">
        <v>1606</v>
      </c>
      <c r="F488">
        <v>18</v>
      </c>
      <c r="G488" t="s">
        <v>1599</v>
      </c>
    </row>
    <row r="489" spans="1:7" x14ac:dyDescent="0.55000000000000004">
      <c r="A489" s="1">
        <v>39935</v>
      </c>
      <c r="B489">
        <v>2009</v>
      </c>
      <c r="C489">
        <v>5</v>
      </c>
      <c r="D489" t="s">
        <v>1607</v>
      </c>
      <c r="E489" t="s">
        <v>1606</v>
      </c>
      <c r="F489">
        <v>18</v>
      </c>
      <c r="G489" t="s">
        <v>1600</v>
      </c>
    </row>
    <row r="490" spans="1:7" x14ac:dyDescent="0.55000000000000004">
      <c r="A490" s="1">
        <v>39936</v>
      </c>
      <c r="B490">
        <v>2009</v>
      </c>
      <c r="C490">
        <v>5</v>
      </c>
      <c r="D490" t="s">
        <v>1607</v>
      </c>
      <c r="E490" t="s">
        <v>1606</v>
      </c>
      <c r="F490">
        <v>19</v>
      </c>
      <c r="G490" t="s">
        <v>1601</v>
      </c>
    </row>
    <row r="491" spans="1:7" x14ac:dyDescent="0.55000000000000004">
      <c r="A491" s="1">
        <v>39937</v>
      </c>
      <c r="B491">
        <v>2009</v>
      </c>
      <c r="C491">
        <v>5</v>
      </c>
      <c r="D491" t="s">
        <v>1607</v>
      </c>
      <c r="E491" t="s">
        <v>1606</v>
      </c>
      <c r="F491">
        <v>19</v>
      </c>
      <c r="G491" t="s">
        <v>1602</v>
      </c>
    </row>
    <row r="492" spans="1:7" x14ac:dyDescent="0.55000000000000004">
      <c r="A492" s="1">
        <v>39938</v>
      </c>
      <c r="B492">
        <v>2009</v>
      </c>
      <c r="C492">
        <v>5</v>
      </c>
      <c r="D492" t="s">
        <v>1607</v>
      </c>
      <c r="E492" t="s">
        <v>1606</v>
      </c>
      <c r="F492">
        <v>19</v>
      </c>
      <c r="G492" t="s">
        <v>1596</v>
      </c>
    </row>
    <row r="493" spans="1:7" x14ac:dyDescent="0.55000000000000004">
      <c r="A493" s="1">
        <v>39939</v>
      </c>
      <c r="B493">
        <v>2009</v>
      </c>
      <c r="C493">
        <v>5</v>
      </c>
      <c r="D493" t="s">
        <v>1607</v>
      </c>
      <c r="E493" t="s">
        <v>1606</v>
      </c>
      <c r="F493">
        <v>19</v>
      </c>
      <c r="G493" t="s">
        <v>1597</v>
      </c>
    </row>
    <row r="494" spans="1:7" x14ac:dyDescent="0.55000000000000004">
      <c r="A494" s="1">
        <v>39940</v>
      </c>
      <c r="B494">
        <v>2009</v>
      </c>
      <c r="C494">
        <v>5</v>
      </c>
      <c r="D494" t="s">
        <v>1607</v>
      </c>
      <c r="E494" t="s">
        <v>1606</v>
      </c>
      <c r="F494">
        <v>19</v>
      </c>
      <c r="G494" t="s">
        <v>1598</v>
      </c>
    </row>
    <row r="495" spans="1:7" x14ac:dyDescent="0.55000000000000004">
      <c r="A495" s="1">
        <v>39941</v>
      </c>
      <c r="B495">
        <v>2009</v>
      </c>
      <c r="C495">
        <v>5</v>
      </c>
      <c r="D495" t="s">
        <v>1607</v>
      </c>
      <c r="E495" t="s">
        <v>1606</v>
      </c>
      <c r="F495">
        <v>19</v>
      </c>
      <c r="G495" t="s">
        <v>1599</v>
      </c>
    </row>
    <row r="496" spans="1:7" x14ac:dyDescent="0.55000000000000004">
      <c r="A496" s="1">
        <v>39942</v>
      </c>
      <c r="B496">
        <v>2009</v>
      </c>
      <c r="C496">
        <v>5</v>
      </c>
      <c r="D496" t="s">
        <v>1607</v>
      </c>
      <c r="E496" t="s">
        <v>1606</v>
      </c>
      <c r="F496">
        <v>19</v>
      </c>
      <c r="G496" t="s">
        <v>1600</v>
      </c>
    </row>
    <row r="497" spans="1:7" x14ac:dyDescent="0.55000000000000004">
      <c r="A497" s="1">
        <v>39943</v>
      </c>
      <c r="B497">
        <v>2009</v>
      </c>
      <c r="C497">
        <v>5</v>
      </c>
      <c r="D497" t="s">
        <v>1607</v>
      </c>
      <c r="E497" t="s">
        <v>1606</v>
      </c>
      <c r="F497">
        <v>20</v>
      </c>
      <c r="G497" t="s">
        <v>1601</v>
      </c>
    </row>
    <row r="498" spans="1:7" x14ac:dyDescent="0.55000000000000004">
      <c r="A498" s="1">
        <v>39944</v>
      </c>
      <c r="B498">
        <v>2009</v>
      </c>
      <c r="C498">
        <v>5</v>
      </c>
      <c r="D498" t="s">
        <v>1607</v>
      </c>
      <c r="E498" t="s">
        <v>1606</v>
      </c>
      <c r="F498">
        <v>20</v>
      </c>
      <c r="G498" t="s">
        <v>1602</v>
      </c>
    </row>
    <row r="499" spans="1:7" x14ac:dyDescent="0.55000000000000004">
      <c r="A499" s="1">
        <v>39945</v>
      </c>
      <c r="B499">
        <v>2009</v>
      </c>
      <c r="C499">
        <v>5</v>
      </c>
      <c r="D499" t="s">
        <v>1607</v>
      </c>
      <c r="E499" t="s">
        <v>1606</v>
      </c>
      <c r="F499">
        <v>20</v>
      </c>
      <c r="G499" t="s">
        <v>1596</v>
      </c>
    </row>
    <row r="500" spans="1:7" x14ac:dyDescent="0.55000000000000004">
      <c r="A500" s="1">
        <v>39946</v>
      </c>
      <c r="B500">
        <v>2009</v>
      </c>
      <c r="C500">
        <v>5</v>
      </c>
      <c r="D500" t="s">
        <v>1607</v>
      </c>
      <c r="E500" t="s">
        <v>1606</v>
      </c>
      <c r="F500">
        <v>20</v>
      </c>
      <c r="G500" t="s">
        <v>1597</v>
      </c>
    </row>
    <row r="501" spans="1:7" x14ac:dyDescent="0.55000000000000004">
      <c r="A501" s="1">
        <v>39947</v>
      </c>
      <c r="B501">
        <v>2009</v>
      </c>
      <c r="C501">
        <v>5</v>
      </c>
      <c r="D501" t="s">
        <v>1607</v>
      </c>
      <c r="E501" t="s">
        <v>1606</v>
      </c>
      <c r="F501">
        <v>20</v>
      </c>
      <c r="G501" t="s">
        <v>1598</v>
      </c>
    </row>
    <row r="502" spans="1:7" x14ac:dyDescent="0.55000000000000004">
      <c r="A502" s="1">
        <v>39948</v>
      </c>
      <c r="B502">
        <v>2009</v>
      </c>
      <c r="C502">
        <v>5</v>
      </c>
      <c r="D502" t="s">
        <v>1607</v>
      </c>
      <c r="E502" t="s">
        <v>1606</v>
      </c>
      <c r="F502">
        <v>20</v>
      </c>
      <c r="G502" t="s">
        <v>1599</v>
      </c>
    </row>
    <row r="503" spans="1:7" x14ac:dyDescent="0.55000000000000004">
      <c r="A503" s="1">
        <v>39949</v>
      </c>
      <c r="B503">
        <v>2009</v>
      </c>
      <c r="C503">
        <v>5</v>
      </c>
      <c r="D503" t="s">
        <v>1607</v>
      </c>
      <c r="E503" t="s">
        <v>1606</v>
      </c>
      <c r="F503">
        <v>20</v>
      </c>
      <c r="G503" t="s">
        <v>1600</v>
      </c>
    </row>
    <row r="504" spans="1:7" x14ac:dyDescent="0.55000000000000004">
      <c r="A504" s="1">
        <v>39950</v>
      </c>
      <c r="B504">
        <v>2009</v>
      </c>
      <c r="C504">
        <v>5</v>
      </c>
      <c r="D504" t="s">
        <v>1607</v>
      </c>
      <c r="E504" t="s">
        <v>1606</v>
      </c>
      <c r="F504">
        <v>21</v>
      </c>
      <c r="G504" t="s">
        <v>1601</v>
      </c>
    </row>
    <row r="505" spans="1:7" x14ac:dyDescent="0.55000000000000004">
      <c r="A505" s="1">
        <v>39951</v>
      </c>
      <c r="B505">
        <v>2009</v>
      </c>
      <c r="C505">
        <v>5</v>
      </c>
      <c r="D505" t="s">
        <v>1607</v>
      </c>
      <c r="E505" t="s">
        <v>1606</v>
      </c>
      <c r="F505">
        <v>21</v>
      </c>
      <c r="G505" t="s">
        <v>1602</v>
      </c>
    </row>
    <row r="506" spans="1:7" x14ac:dyDescent="0.55000000000000004">
      <c r="A506" s="1">
        <v>39952</v>
      </c>
      <c r="B506">
        <v>2009</v>
      </c>
      <c r="C506">
        <v>5</v>
      </c>
      <c r="D506" t="s">
        <v>1607</v>
      </c>
      <c r="E506" t="s">
        <v>1606</v>
      </c>
      <c r="F506">
        <v>21</v>
      </c>
      <c r="G506" t="s">
        <v>1596</v>
      </c>
    </row>
    <row r="507" spans="1:7" x14ac:dyDescent="0.55000000000000004">
      <c r="A507" s="1">
        <v>39953</v>
      </c>
      <c r="B507">
        <v>2009</v>
      </c>
      <c r="C507">
        <v>5</v>
      </c>
      <c r="D507" t="s">
        <v>1607</v>
      </c>
      <c r="E507" t="s">
        <v>1606</v>
      </c>
      <c r="F507">
        <v>21</v>
      </c>
      <c r="G507" t="s">
        <v>1597</v>
      </c>
    </row>
    <row r="508" spans="1:7" x14ac:dyDescent="0.55000000000000004">
      <c r="A508" s="1">
        <v>39954</v>
      </c>
      <c r="B508">
        <v>2009</v>
      </c>
      <c r="C508">
        <v>5</v>
      </c>
      <c r="D508" t="s">
        <v>1607</v>
      </c>
      <c r="E508" t="s">
        <v>1606</v>
      </c>
      <c r="F508">
        <v>21</v>
      </c>
      <c r="G508" t="s">
        <v>1598</v>
      </c>
    </row>
    <row r="509" spans="1:7" x14ac:dyDescent="0.55000000000000004">
      <c r="A509" s="1">
        <v>39955</v>
      </c>
      <c r="B509">
        <v>2009</v>
      </c>
      <c r="C509">
        <v>5</v>
      </c>
      <c r="D509" t="s">
        <v>1607</v>
      </c>
      <c r="E509" t="s">
        <v>1606</v>
      </c>
      <c r="F509">
        <v>21</v>
      </c>
      <c r="G509" t="s">
        <v>1599</v>
      </c>
    </row>
    <row r="510" spans="1:7" x14ac:dyDescent="0.55000000000000004">
      <c r="A510" s="1">
        <v>39956</v>
      </c>
      <c r="B510">
        <v>2009</v>
      </c>
      <c r="C510">
        <v>5</v>
      </c>
      <c r="D510" t="s">
        <v>1607</v>
      </c>
      <c r="E510" t="s">
        <v>1606</v>
      </c>
      <c r="F510">
        <v>21</v>
      </c>
      <c r="G510" t="s">
        <v>1600</v>
      </c>
    </row>
    <row r="511" spans="1:7" x14ac:dyDescent="0.55000000000000004">
      <c r="A511" s="1">
        <v>39957</v>
      </c>
      <c r="B511">
        <v>2009</v>
      </c>
      <c r="C511">
        <v>5</v>
      </c>
      <c r="D511" t="s">
        <v>1607</v>
      </c>
      <c r="E511" t="s">
        <v>1606</v>
      </c>
      <c r="F511">
        <v>22</v>
      </c>
      <c r="G511" t="s">
        <v>1601</v>
      </c>
    </row>
    <row r="512" spans="1:7" x14ac:dyDescent="0.55000000000000004">
      <c r="A512" s="1">
        <v>39958</v>
      </c>
      <c r="B512">
        <v>2009</v>
      </c>
      <c r="C512">
        <v>5</v>
      </c>
      <c r="D512" t="s">
        <v>1607</v>
      </c>
      <c r="E512" t="s">
        <v>1606</v>
      </c>
      <c r="F512">
        <v>22</v>
      </c>
      <c r="G512" t="s">
        <v>1602</v>
      </c>
    </row>
    <row r="513" spans="1:7" x14ac:dyDescent="0.55000000000000004">
      <c r="A513" s="1">
        <v>39959</v>
      </c>
      <c r="B513">
        <v>2009</v>
      </c>
      <c r="C513">
        <v>5</v>
      </c>
      <c r="D513" t="s">
        <v>1607</v>
      </c>
      <c r="E513" t="s">
        <v>1606</v>
      </c>
      <c r="F513">
        <v>22</v>
      </c>
      <c r="G513" t="s">
        <v>1596</v>
      </c>
    </row>
    <row r="514" spans="1:7" x14ac:dyDescent="0.55000000000000004">
      <c r="A514" s="1">
        <v>39960</v>
      </c>
      <c r="B514">
        <v>2009</v>
      </c>
      <c r="C514">
        <v>5</v>
      </c>
      <c r="D514" t="s">
        <v>1607</v>
      </c>
      <c r="E514" t="s">
        <v>1606</v>
      </c>
      <c r="F514">
        <v>22</v>
      </c>
      <c r="G514" t="s">
        <v>1597</v>
      </c>
    </row>
    <row r="515" spans="1:7" x14ac:dyDescent="0.55000000000000004">
      <c r="A515" s="1">
        <v>39961</v>
      </c>
      <c r="B515">
        <v>2009</v>
      </c>
      <c r="C515">
        <v>5</v>
      </c>
      <c r="D515" t="s">
        <v>1607</v>
      </c>
      <c r="E515" t="s">
        <v>1606</v>
      </c>
      <c r="F515">
        <v>22</v>
      </c>
      <c r="G515" t="s">
        <v>1598</v>
      </c>
    </row>
    <row r="516" spans="1:7" x14ac:dyDescent="0.55000000000000004">
      <c r="A516" s="1">
        <v>39962</v>
      </c>
      <c r="B516">
        <v>2009</v>
      </c>
      <c r="C516">
        <v>5</v>
      </c>
      <c r="D516" t="s">
        <v>1607</v>
      </c>
      <c r="E516" t="s">
        <v>1606</v>
      </c>
      <c r="F516">
        <v>22</v>
      </c>
      <c r="G516" t="s">
        <v>1599</v>
      </c>
    </row>
    <row r="517" spans="1:7" x14ac:dyDescent="0.55000000000000004">
      <c r="A517" s="1">
        <v>39963</v>
      </c>
      <c r="B517">
        <v>2009</v>
      </c>
      <c r="C517">
        <v>5</v>
      </c>
      <c r="D517" t="s">
        <v>1607</v>
      </c>
      <c r="E517" t="s">
        <v>1606</v>
      </c>
      <c r="F517">
        <v>22</v>
      </c>
      <c r="G517" t="s">
        <v>1600</v>
      </c>
    </row>
    <row r="518" spans="1:7" x14ac:dyDescent="0.55000000000000004">
      <c r="A518" s="1">
        <v>39964</v>
      </c>
      <c r="B518">
        <v>2009</v>
      </c>
      <c r="C518">
        <v>5</v>
      </c>
      <c r="D518" t="s">
        <v>1607</v>
      </c>
      <c r="E518" t="s">
        <v>1606</v>
      </c>
      <c r="F518">
        <v>23</v>
      </c>
      <c r="G518" t="s">
        <v>1601</v>
      </c>
    </row>
    <row r="519" spans="1:7" x14ac:dyDescent="0.55000000000000004">
      <c r="A519" s="1">
        <v>39965</v>
      </c>
      <c r="B519">
        <v>2009</v>
      </c>
      <c r="C519">
        <v>6</v>
      </c>
      <c r="D519" t="s">
        <v>1593</v>
      </c>
      <c r="E519" t="s">
        <v>1606</v>
      </c>
      <c r="F519">
        <v>23</v>
      </c>
      <c r="G519" t="s">
        <v>1602</v>
      </c>
    </row>
    <row r="520" spans="1:7" x14ac:dyDescent="0.55000000000000004">
      <c r="A520" s="1">
        <v>39966</v>
      </c>
      <c r="B520">
        <v>2009</v>
      </c>
      <c r="C520">
        <v>6</v>
      </c>
      <c r="D520" t="s">
        <v>1593</v>
      </c>
      <c r="E520" t="s">
        <v>1606</v>
      </c>
      <c r="F520">
        <v>23</v>
      </c>
      <c r="G520" t="s">
        <v>1596</v>
      </c>
    </row>
    <row r="521" spans="1:7" x14ac:dyDescent="0.55000000000000004">
      <c r="A521" s="1">
        <v>39967</v>
      </c>
      <c r="B521">
        <v>2009</v>
      </c>
      <c r="C521">
        <v>6</v>
      </c>
      <c r="D521" t="s">
        <v>1593</v>
      </c>
      <c r="E521" t="s">
        <v>1606</v>
      </c>
      <c r="F521">
        <v>23</v>
      </c>
      <c r="G521" t="s">
        <v>1597</v>
      </c>
    </row>
    <row r="522" spans="1:7" x14ac:dyDescent="0.55000000000000004">
      <c r="A522" s="1">
        <v>39968</v>
      </c>
      <c r="B522">
        <v>2009</v>
      </c>
      <c r="C522">
        <v>6</v>
      </c>
      <c r="D522" t="s">
        <v>1593</v>
      </c>
      <c r="E522" t="s">
        <v>1606</v>
      </c>
      <c r="F522">
        <v>23</v>
      </c>
      <c r="G522" t="s">
        <v>1598</v>
      </c>
    </row>
    <row r="523" spans="1:7" x14ac:dyDescent="0.55000000000000004">
      <c r="A523" s="1">
        <v>39969</v>
      </c>
      <c r="B523">
        <v>2009</v>
      </c>
      <c r="C523">
        <v>6</v>
      </c>
      <c r="D523" t="s">
        <v>1593</v>
      </c>
      <c r="E523" t="s">
        <v>1606</v>
      </c>
      <c r="F523">
        <v>23</v>
      </c>
      <c r="G523" t="s">
        <v>1599</v>
      </c>
    </row>
    <row r="524" spans="1:7" x14ac:dyDescent="0.55000000000000004">
      <c r="A524" s="1">
        <v>39970</v>
      </c>
      <c r="B524">
        <v>2009</v>
      </c>
      <c r="C524">
        <v>6</v>
      </c>
      <c r="D524" t="s">
        <v>1593</v>
      </c>
      <c r="E524" t="s">
        <v>1606</v>
      </c>
      <c r="F524">
        <v>23</v>
      </c>
      <c r="G524" t="s">
        <v>1600</v>
      </c>
    </row>
    <row r="525" spans="1:7" x14ac:dyDescent="0.55000000000000004">
      <c r="A525" s="1">
        <v>39971</v>
      </c>
      <c r="B525">
        <v>2009</v>
      </c>
      <c r="C525">
        <v>6</v>
      </c>
      <c r="D525" t="s">
        <v>1593</v>
      </c>
      <c r="E525" t="s">
        <v>1606</v>
      </c>
      <c r="F525">
        <v>24</v>
      </c>
      <c r="G525" t="s">
        <v>1601</v>
      </c>
    </row>
    <row r="526" spans="1:7" x14ac:dyDescent="0.55000000000000004">
      <c r="A526" s="1">
        <v>39972</v>
      </c>
      <c r="B526">
        <v>2009</v>
      </c>
      <c r="C526">
        <v>6</v>
      </c>
      <c r="D526" t="s">
        <v>1593</v>
      </c>
      <c r="E526" t="s">
        <v>1606</v>
      </c>
      <c r="F526">
        <v>24</v>
      </c>
      <c r="G526" t="s">
        <v>1602</v>
      </c>
    </row>
    <row r="527" spans="1:7" x14ac:dyDescent="0.55000000000000004">
      <c r="A527" s="1">
        <v>39973</v>
      </c>
      <c r="B527">
        <v>2009</v>
      </c>
      <c r="C527">
        <v>6</v>
      </c>
      <c r="D527" t="s">
        <v>1593</v>
      </c>
      <c r="E527" t="s">
        <v>1606</v>
      </c>
      <c r="F527">
        <v>24</v>
      </c>
      <c r="G527" t="s">
        <v>1596</v>
      </c>
    </row>
    <row r="528" spans="1:7" x14ac:dyDescent="0.55000000000000004">
      <c r="A528" s="1">
        <v>39974</v>
      </c>
      <c r="B528">
        <v>2009</v>
      </c>
      <c r="C528">
        <v>6</v>
      </c>
      <c r="D528" t="s">
        <v>1593</v>
      </c>
      <c r="E528" t="s">
        <v>1606</v>
      </c>
      <c r="F528">
        <v>24</v>
      </c>
      <c r="G528" t="s">
        <v>1597</v>
      </c>
    </row>
    <row r="529" spans="1:7" x14ac:dyDescent="0.55000000000000004">
      <c r="A529" s="1">
        <v>39975</v>
      </c>
      <c r="B529">
        <v>2009</v>
      </c>
      <c r="C529">
        <v>6</v>
      </c>
      <c r="D529" t="s">
        <v>1593</v>
      </c>
      <c r="E529" t="s">
        <v>1606</v>
      </c>
      <c r="F529">
        <v>24</v>
      </c>
      <c r="G529" t="s">
        <v>1598</v>
      </c>
    </row>
    <row r="530" spans="1:7" x14ac:dyDescent="0.55000000000000004">
      <c r="A530" s="1">
        <v>39976</v>
      </c>
      <c r="B530">
        <v>2009</v>
      </c>
      <c r="C530">
        <v>6</v>
      </c>
      <c r="D530" t="s">
        <v>1593</v>
      </c>
      <c r="E530" t="s">
        <v>1606</v>
      </c>
      <c r="F530">
        <v>24</v>
      </c>
      <c r="G530" t="s">
        <v>1599</v>
      </c>
    </row>
    <row r="531" spans="1:7" x14ac:dyDescent="0.55000000000000004">
      <c r="A531" s="1">
        <v>39977</v>
      </c>
      <c r="B531">
        <v>2009</v>
      </c>
      <c r="C531">
        <v>6</v>
      </c>
      <c r="D531" t="s">
        <v>1593</v>
      </c>
      <c r="E531" t="s">
        <v>1606</v>
      </c>
      <c r="F531">
        <v>24</v>
      </c>
      <c r="G531" t="s">
        <v>1600</v>
      </c>
    </row>
    <row r="532" spans="1:7" x14ac:dyDescent="0.55000000000000004">
      <c r="A532" s="1">
        <v>39978</v>
      </c>
      <c r="B532">
        <v>2009</v>
      </c>
      <c r="C532">
        <v>6</v>
      </c>
      <c r="D532" t="s">
        <v>1593</v>
      </c>
      <c r="E532" t="s">
        <v>1606</v>
      </c>
      <c r="F532">
        <v>25</v>
      </c>
      <c r="G532" t="s">
        <v>1601</v>
      </c>
    </row>
    <row r="533" spans="1:7" x14ac:dyDescent="0.55000000000000004">
      <c r="A533" s="1">
        <v>39979</v>
      </c>
      <c r="B533">
        <v>2009</v>
      </c>
      <c r="C533">
        <v>6</v>
      </c>
      <c r="D533" t="s">
        <v>1593</v>
      </c>
      <c r="E533" t="s">
        <v>1606</v>
      </c>
      <c r="F533">
        <v>25</v>
      </c>
      <c r="G533" t="s">
        <v>1602</v>
      </c>
    </row>
    <row r="534" spans="1:7" x14ac:dyDescent="0.55000000000000004">
      <c r="A534" s="1">
        <v>39980</v>
      </c>
      <c r="B534">
        <v>2009</v>
      </c>
      <c r="C534">
        <v>6</v>
      </c>
      <c r="D534" t="s">
        <v>1593</v>
      </c>
      <c r="E534" t="s">
        <v>1606</v>
      </c>
      <c r="F534">
        <v>25</v>
      </c>
      <c r="G534" t="s">
        <v>1596</v>
      </c>
    </row>
    <row r="535" spans="1:7" x14ac:dyDescent="0.55000000000000004">
      <c r="A535" s="1">
        <v>39981</v>
      </c>
      <c r="B535">
        <v>2009</v>
      </c>
      <c r="C535">
        <v>6</v>
      </c>
      <c r="D535" t="s">
        <v>1593</v>
      </c>
      <c r="E535" t="s">
        <v>1606</v>
      </c>
      <c r="F535">
        <v>25</v>
      </c>
      <c r="G535" t="s">
        <v>1597</v>
      </c>
    </row>
    <row r="536" spans="1:7" x14ac:dyDescent="0.55000000000000004">
      <c r="A536" s="1">
        <v>39982</v>
      </c>
      <c r="B536">
        <v>2009</v>
      </c>
      <c r="C536">
        <v>6</v>
      </c>
      <c r="D536" t="s">
        <v>1593</v>
      </c>
      <c r="E536" t="s">
        <v>1606</v>
      </c>
      <c r="F536">
        <v>25</v>
      </c>
      <c r="G536" t="s">
        <v>1598</v>
      </c>
    </row>
    <row r="537" spans="1:7" x14ac:dyDescent="0.55000000000000004">
      <c r="A537" s="1">
        <v>39983</v>
      </c>
      <c r="B537">
        <v>2009</v>
      </c>
      <c r="C537">
        <v>6</v>
      </c>
      <c r="D537" t="s">
        <v>1593</v>
      </c>
      <c r="E537" t="s">
        <v>1606</v>
      </c>
      <c r="F537">
        <v>25</v>
      </c>
      <c r="G537" t="s">
        <v>1599</v>
      </c>
    </row>
    <row r="538" spans="1:7" x14ac:dyDescent="0.55000000000000004">
      <c r="A538" s="1">
        <v>39984</v>
      </c>
      <c r="B538">
        <v>2009</v>
      </c>
      <c r="C538">
        <v>6</v>
      </c>
      <c r="D538" t="s">
        <v>1593</v>
      </c>
      <c r="E538" t="s">
        <v>1606</v>
      </c>
      <c r="F538">
        <v>25</v>
      </c>
      <c r="G538" t="s">
        <v>1600</v>
      </c>
    </row>
    <row r="539" spans="1:7" x14ac:dyDescent="0.55000000000000004">
      <c r="A539" s="1">
        <v>39985</v>
      </c>
      <c r="B539">
        <v>2009</v>
      </c>
      <c r="C539">
        <v>6</v>
      </c>
      <c r="D539" t="s">
        <v>1593</v>
      </c>
      <c r="E539" t="s">
        <v>1606</v>
      </c>
      <c r="F539">
        <v>26</v>
      </c>
      <c r="G539" t="s">
        <v>1601</v>
      </c>
    </row>
    <row r="540" spans="1:7" x14ac:dyDescent="0.55000000000000004">
      <c r="A540" s="1">
        <v>39986</v>
      </c>
      <c r="B540">
        <v>2009</v>
      </c>
      <c r="C540">
        <v>6</v>
      </c>
      <c r="D540" t="s">
        <v>1593</v>
      </c>
      <c r="E540" t="s">
        <v>1606</v>
      </c>
      <c r="F540">
        <v>26</v>
      </c>
      <c r="G540" t="s">
        <v>1602</v>
      </c>
    </row>
    <row r="541" spans="1:7" x14ac:dyDescent="0.55000000000000004">
      <c r="A541" s="1">
        <v>39987</v>
      </c>
      <c r="B541">
        <v>2009</v>
      </c>
      <c r="C541">
        <v>6</v>
      </c>
      <c r="D541" t="s">
        <v>1593</v>
      </c>
      <c r="E541" t="s">
        <v>1606</v>
      </c>
      <c r="F541">
        <v>26</v>
      </c>
      <c r="G541" t="s">
        <v>1596</v>
      </c>
    </row>
    <row r="542" spans="1:7" x14ac:dyDescent="0.55000000000000004">
      <c r="A542" s="1">
        <v>39988</v>
      </c>
      <c r="B542">
        <v>2009</v>
      </c>
      <c r="C542">
        <v>6</v>
      </c>
      <c r="D542" t="s">
        <v>1593</v>
      </c>
      <c r="E542" t="s">
        <v>1606</v>
      </c>
      <c r="F542">
        <v>26</v>
      </c>
      <c r="G542" t="s">
        <v>1597</v>
      </c>
    </row>
    <row r="543" spans="1:7" x14ac:dyDescent="0.55000000000000004">
      <c r="A543" s="1">
        <v>39989</v>
      </c>
      <c r="B543">
        <v>2009</v>
      </c>
      <c r="C543">
        <v>6</v>
      </c>
      <c r="D543" t="s">
        <v>1593</v>
      </c>
      <c r="E543" t="s">
        <v>1606</v>
      </c>
      <c r="F543">
        <v>26</v>
      </c>
      <c r="G543" t="s">
        <v>1598</v>
      </c>
    </row>
    <row r="544" spans="1:7" x14ac:dyDescent="0.55000000000000004">
      <c r="A544" s="1">
        <v>39990</v>
      </c>
      <c r="B544">
        <v>2009</v>
      </c>
      <c r="C544">
        <v>6</v>
      </c>
      <c r="D544" t="s">
        <v>1593</v>
      </c>
      <c r="E544" t="s">
        <v>1606</v>
      </c>
      <c r="F544">
        <v>26</v>
      </c>
      <c r="G544" t="s">
        <v>1599</v>
      </c>
    </row>
    <row r="545" spans="1:7" x14ac:dyDescent="0.55000000000000004">
      <c r="A545" s="1">
        <v>39991</v>
      </c>
      <c r="B545">
        <v>2009</v>
      </c>
      <c r="C545">
        <v>6</v>
      </c>
      <c r="D545" t="s">
        <v>1593</v>
      </c>
      <c r="E545" t="s">
        <v>1606</v>
      </c>
      <c r="F545">
        <v>26</v>
      </c>
      <c r="G545" t="s">
        <v>1600</v>
      </c>
    </row>
    <row r="546" spans="1:7" x14ac:dyDescent="0.55000000000000004">
      <c r="A546" s="1">
        <v>39992</v>
      </c>
      <c r="B546">
        <v>2009</v>
      </c>
      <c r="C546">
        <v>6</v>
      </c>
      <c r="D546" t="s">
        <v>1593</v>
      </c>
      <c r="E546" t="s">
        <v>1606</v>
      </c>
      <c r="F546">
        <v>27</v>
      </c>
      <c r="G546" t="s">
        <v>1601</v>
      </c>
    </row>
    <row r="547" spans="1:7" x14ac:dyDescent="0.55000000000000004">
      <c r="A547" s="1">
        <v>39993</v>
      </c>
      <c r="B547">
        <v>2009</v>
      </c>
      <c r="C547">
        <v>6</v>
      </c>
      <c r="D547" t="s">
        <v>1593</v>
      </c>
      <c r="E547" t="s">
        <v>1606</v>
      </c>
      <c r="F547">
        <v>27</v>
      </c>
      <c r="G547" t="s">
        <v>1602</v>
      </c>
    </row>
    <row r="548" spans="1:7" x14ac:dyDescent="0.55000000000000004">
      <c r="A548" s="1">
        <v>39994</v>
      </c>
      <c r="B548">
        <v>2009</v>
      </c>
      <c r="C548">
        <v>6</v>
      </c>
      <c r="D548" t="s">
        <v>1593</v>
      </c>
      <c r="E548" t="s">
        <v>1606</v>
      </c>
      <c r="F548">
        <v>27</v>
      </c>
      <c r="G548" t="s">
        <v>1596</v>
      </c>
    </row>
    <row r="549" spans="1:7" x14ac:dyDescent="0.55000000000000004">
      <c r="A549" s="1">
        <v>39995</v>
      </c>
      <c r="B549">
        <v>2009</v>
      </c>
      <c r="C549">
        <v>7</v>
      </c>
      <c r="D549" t="s">
        <v>1608</v>
      </c>
      <c r="E549" t="s">
        <v>1609</v>
      </c>
      <c r="F549">
        <v>27</v>
      </c>
      <c r="G549" t="s">
        <v>1597</v>
      </c>
    </row>
    <row r="550" spans="1:7" x14ac:dyDescent="0.55000000000000004">
      <c r="A550" s="1">
        <v>39996</v>
      </c>
      <c r="B550">
        <v>2009</v>
      </c>
      <c r="C550">
        <v>7</v>
      </c>
      <c r="D550" t="s">
        <v>1608</v>
      </c>
      <c r="E550" t="s">
        <v>1609</v>
      </c>
      <c r="F550">
        <v>27</v>
      </c>
      <c r="G550" t="s">
        <v>1598</v>
      </c>
    </row>
    <row r="551" spans="1:7" x14ac:dyDescent="0.55000000000000004">
      <c r="A551" s="1">
        <v>39997</v>
      </c>
      <c r="B551">
        <v>2009</v>
      </c>
      <c r="C551">
        <v>7</v>
      </c>
      <c r="D551" t="s">
        <v>1608</v>
      </c>
      <c r="E551" t="s">
        <v>1609</v>
      </c>
      <c r="F551">
        <v>27</v>
      </c>
      <c r="G551" t="s">
        <v>1599</v>
      </c>
    </row>
    <row r="552" spans="1:7" x14ac:dyDescent="0.55000000000000004">
      <c r="A552" s="1">
        <v>39998</v>
      </c>
      <c r="B552">
        <v>2009</v>
      </c>
      <c r="C552">
        <v>7</v>
      </c>
      <c r="D552" t="s">
        <v>1608</v>
      </c>
      <c r="E552" t="s">
        <v>1609</v>
      </c>
      <c r="F552">
        <v>27</v>
      </c>
      <c r="G552" t="s">
        <v>1600</v>
      </c>
    </row>
    <row r="553" spans="1:7" x14ac:dyDescent="0.55000000000000004">
      <c r="A553" s="1">
        <v>39999</v>
      </c>
      <c r="B553">
        <v>2009</v>
      </c>
      <c r="C553">
        <v>7</v>
      </c>
      <c r="D553" t="s">
        <v>1608</v>
      </c>
      <c r="E553" t="s">
        <v>1609</v>
      </c>
      <c r="F553">
        <v>28</v>
      </c>
      <c r="G553" t="s">
        <v>1601</v>
      </c>
    </row>
    <row r="554" spans="1:7" x14ac:dyDescent="0.55000000000000004">
      <c r="A554" s="1">
        <v>40000</v>
      </c>
      <c r="B554">
        <v>2009</v>
      </c>
      <c r="C554">
        <v>7</v>
      </c>
      <c r="D554" t="s">
        <v>1608</v>
      </c>
      <c r="E554" t="s">
        <v>1609</v>
      </c>
      <c r="F554">
        <v>28</v>
      </c>
      <c r="G554" t="s">
        <v>1602</v>
      </c>
    </row>
    <row r="555" spans="1:7" x14ac:dyDescent="0.55000000000000004">
      <c r="A555" s="1">
        <v>40001</v>
      </c>
      <c r="B555">
        <v>2009</v>
      </c>
      <c r="C555">
        <v>7</v>
      </c>
      <c r="D555" t="s">
        <v>1608</v>
      </c>
      <c r="E555" t="s">
        <v>1609</v>
      </c>
      <c r="F555">
        <v>28</v>
      </c>
      <c r="G555" t="s">
        <v>1596</v>
      </c>
    </row>
    <row r="556" spans="1:7" x14ac:dyDescent="0.55000000000000004">
      <c r="A556" s="1">
        <v>40002</v>
      </c>
      <c r="B556">
        <v>2009</v>
      </c>
      <c r="C556">
        <v>7</v>
      </c>
      <c r="D556" t="s">
        <v>1608</v>
      </c>
      <c r="E556" t="s">
        <v>1609</v>
      </c>
      <c r="F556">
        <v>28</v>
      </c>
      <c r="G556" t="s">
        <v>1597</v>
      </c>
    </row>
    <row r="557" spans="1:7" x14ac:dyDescent="0.55000000000000004">
      <c r="A557" s="1">
        <v>40003</v>
      </c>
      <c r="B557">
        <v>2009</v>
      </c>
      <c r="C557">
        <v>7</v>
      </c>
      <c r="D557" t="s">
        <v>1608</v>
      </c>
      <c r="E557" t="s">
        <v>1609</v>
      </c>
      <c r="F557">
        <v>28</v>
      </c>
      <c r="G557" t="s">
        <v>1598</v>
      </c>
    </row>
    <row r="558" spans="1:7" x14ac:dyDescent="0.55000000000000004">
      <c r="A558" s="1">
        <v>40004</v>
      </c>
      <c r="B558">
        <v>2009</v>
      </c>
      <c r="C558">
        <v>7</v>
      </c>
      <c r="D558" t="s">
        <v>1608</v>
      </c>
      <c r="E558" t="s">
        <v>1609</v>
      </c>
      <c r="F558">
        <v>28</v>
      </c>
      <c r="G558" t="s">
        <v>1599</v>
      </c>
    </row>
    <row r="559" spans="1:7" x14ac:dyDescent="0.55000000000000004">
      <c r="A559" s="1">
        <v>40005</v>
      </c>
      <c r="B559">
        <v>2009</v>
      </c>
      <c r="C559">
        <v>7</v>
      </c>
      <c r="D559" t="s">
        <v>1608</v>
      </c>
      <c r="E559" t="s">
        <v>1609</v>
      </c>
      <c r="F559">
        <v>28</v>
      </c>
      <c r="G559" t="s">
        <v>1600</v>
      </c>
    </row>
    <row r="560" spans="1:7" x14ac:dyDescent="0.55000000000000004">
      <c r="A560" s="1">
        <v>40006</v>
      </c>
      <c r="B560">
        <v>2009</v>
      </c>
      <c r="C560">
        <v>7</v>
      </c>
      <c r="D560" t="s">
        <v>1608</v>
      </c>
      <c r="E560" t="s">
        <v>1609</v>
      </c>
      <c r="F560">
        <v>29</v>
      </c>
      <c r="G560" t="s">
        <v>1601</v>
      </c>
    </row>
    <row r="561" spans="1:7" x14ac:dyDescent="0.55000000000000004">
      <c r="A561" s="1">
        <v>40007</v>
      </c>
      <c r="B561">
        <v>2009</v>
      </c>
      <c r="C561">
        <v>7</v>
      </c>
      <c r="D561" t="s">
        <v>1608</v>
      </c>
      <c r="E561" t="s">
        <v>1609</v>
      </c>
      <c r="F561">
        <v>29</v>
      </c>
      <c r="G561" t="s">
        <v>1602</v>
      </c>
    </row>
    <row r="562" spans="1:7" x14ac:dyDescent="0.55000000000000004">
      <c r="A562" s="1">
        <v>40008</v>
      </c>
      <c r="B562">
        <v>2009</v>
      </c>
      <c r="C562">
        <v>7</v>
      </c>
      <c r="D562" t="s">
        <v>1608</v>
      </c>
      <c r="E562" t="s">
        <v>1609</v>
      </c>
      <c r="F562">
        <v>29</v>
      </c>
      <c r="G562" t="s">
        <v>1596</v>
      </c>
    </row>
    <row r="563" spans="1:7" x14ac:dyDescent="0.55000000000000004">
      <c r="A563" s="1">
        <v>40009</v>
      </c>
      <c r="B563">
        <v>2009</v>
      </c>
      <c r="C563">
        <v>7</v>
      </c>
      <c r="D563" t="s">
        <v>1608</v>
      </c>
      <c r="E563" t="s">
        <v>1609</v>
      </c>
      <c r="F563">
        <v>29</v>
      </c>
      <c r="G563" t="s">
        <v>1597</v>
      </c>
    </row>
    <row r="564" spans="1:7" x14ac:dyDescent="0.55000000000000004">
      <c r="A564" s="1">
        <v>40010</v>
      </c>
      <c r="B564">
        <v>2009</v>
      </c>
      <c r="C564">
        <v>7</v>
      </c>
      <c r="D564" t="s">
        <v>1608</v>
      </c>
      <c r="E564" t="s">
        <v>1609</v>
      </c>
      <c r="F564">
        <v>29</v>
      </c>
      <c r="G564" t="s">
        <v>1598</v>
      </c>
    </row>
    <row r="565" spans="1:7" x14ac:dyDescent="0.55000000000000004">
      <c r="A565" s="1">
        <v>40011</v>
      </c>
      <c r="B565">
        <v>2009</v>
      </c>
      <c r="C565">
        <v>7</v>
      </c>
      <c r="D565" t="s">
        <v>1608</v>
      </c>
      <c r="E565" t="s">
        <v>1609</v>
      </c>
      <c r="F565">
        <v>29</v>
      </c>
      <c r="G565" t="s">
        <v>1599</v>
      </c>
    </row>
    <row r="566" spans="1:7" x14ac:dyDescent="0.55000000000000004">
      <c r="A566" s="1">
        <v>40012</v>
      </c>
      <c r="B566">
        <v>2009</v>
      </c>
      <c r="C566">
        <v>7</v>
      </c>
      <c r="D566" t="s">
        <v>1608</v>
      </c>
      <c r="E566" t="s">
        <v>1609</v>
      </c>
      <c r="F566">
        <v>29</v>
      </c>
      <c r="G566" t="s">
        <v>1600</v>
      </c>
    </row>
    <row r="567" spans="1:7" x14ac:dyDescent="0.55000000000000004">
      <c r="A567" s="1">
        <v>40013</v>
      </c>
      <c r="B567">
        <v>2009</v>
      </c>
      <c r="C567">
        <v>7</v>
      </c>
      <c r="D567" t="s">
        <v>1608</v>
      </c>
      <c r="E567" t="s">
        <v>1609</v>
      </c>
      <c r="F567">
        <v>30</v>
      </c>
      <c r="G567" t="s">
        <v>1601</v>
      </c>
    </row>
    <row r="568" spans="1:7" x14ac:dyDescent="0.55000000000000004">
      <c r="A568" s="1">
        <v>40014</v>
      </c>
      <c r="B568">
        <v>2009</v>
      </c>
      <c r="C568">
        <v>7</v>
      </c>
      <c r="D568" t="s">
        <v>1608</v>
      </c>
      <c r="E568" t="s">
        <v>1609</v>
      </c>
      <c r="F568">
        <v>30</v>
      </c>
      <c r="G568" t="s">
        <v>1602</v>
      </c>
    </row>
    <row r="569" spans="1:7" x14ac:dyDescent="0.55000000000000004">
      <c r="A569" s="1">
        <v>40015</v>
      </c>
      <c r="B569">
        <v>2009</v>
      </c>
      <c r="C569">
        <v>7</v>
      </c>
      <c r="D569" t="s">
        <v>1608</v>
      </c>
      <c r="E569" t="s">
        <v>1609</v>
      </c>
      <c r="F569">
        <v>30</v>
      </c>
      <c r="G569" t="s">
        <v>1596</v>
      </c>
    </row>
    <row r="570" spans="1:7" x14ac:dyDescent="0.55000000000000004">
      <c r="A570" s="1">
        <v>40016</v>
      </c>
      <c r="B570">
        <v>2009</v>
      </c>
      <c r="C570">
        <v>7</v>
      </c>
      <c r="D570" t="s">
        <v>1608</v>
      </c>
      <c r="E570" t="s">
        <v>1609</v>
      </c>
      <c r="F570">
        <v>30</v>
      </c>
      <c r="G570" t="s">
        <v>1597</v>
      </c>
    </row>
    <row r="571" spans="1:7" x14ac:dyDescent="0.55000000000000004">
      <c r="A571" s="1">
        <v>40017</v>
      </c>
      <c r="B571">
        <v>2009</v>
      </c>
      <c r="C571">
        <v>7</v>
      </c>
      <c r="D571" t="s">
        <v>1608</v>
      </c>
      <c r="E571" t="s">
        <v>1609</v>
      </c>
      <c r="F571">
        <v>30</v>
      </c>
      <c r="G571" t="s">
        <v>1598</v>
      </c>
    </row>
    <row r="572" spans="1:7" x14ac:dyDescent="0.55000000000000004">
      <c r="A572" s="1">
        <v>40018</v>
      </c>
      <c r="B572">
        <v>2009</v>
      </c>
      <c r="C572">
        <v>7</v>
      </c>
      <c r="D572" t="s">
        <v>1608</v>
      </c>
      <c r="E572" t="s">
        <v>1609</v>
      </c>
      <c r="F572">
        <v>30</v>
      </c>
      <c r="G572" t="s">
        <v>1599</v>
      </c>
    </row>
    <row r="573" spans="1:7" x14ac:dyDescent="0.55000000000000004">
      <c r="A573" s="1">
        <v>40019</v>
      </c>
      <c r="B573">
        <v>2009</v>
      </c>
      <c r="C573">
        <v>7</v>
      </c>
      <c r="D573" t="s">
        <v>1608</v>
      </c>
      <c r="E573" t="s">
        <v>1609</v>
      </c>
      <c r="F573">
        <v>30</v>
      </c>
      <c r="G573" t="s">
        <v>1600</v>
      </c>
    </row>
    <row r="574" spans="1:7" x14ac:dyDescent="0.55000000000000004">
      <c r="A574" s="1">
        <v>40020</v>
      </c>
      <c r="B574">
        <v>2009</v>
      </c>
      <c r="C574">
        <v>7</v>
      </c>
      <c r="D574" t="s">
        <v>1608</v>
      </c>
      <c r="E574" t="s">
        <v>1609</v>
      </c>
      <c r="F574">
        <v>31</v>
      </c>
      <c r="G574" t="s">
        <v>1601</v>
      </c>
    </row>
    <row r="575" spans="1:7" x14ac:dyDescent="0.55000000000000004">
      <c r="A575" s="1">
        <v>40021</v>
      </c>
      <c r="B575">
        <v>2009</v>
      </c>
      <c r="C575">
        <v>7</v>
      </c>
      <c r="D575" t="s">
        <v>1608</v>
      </c>
      <c r="E575" t="s">
        <v>1609</v>
      </c>
      <c r="F575">
        <v>31</v>
      </c>
      <c r="G575" t="s">
        <v>1602</v>
      </c>
    </row>
    <row r="576" spans="1:7" x14ac:dyDescent="0.55000000000000004">
      <c r="A576" s="1">
        <v>40022</v>
      </c>
      <c r="B576">
        <v>2009</v>
      </c>
      <c r="C576">
        <v>7</v>
      </c>
      <c r="D576" t="s">
        <v>1608</v>
      </c>
      <c r="E576" t="s">
        <v>1609</v>
      </c>
      <c r="F576">
        <v>31</v>
      </c>
      <c r="G576" t="s">
        <v>1596</v>
      </c>
    </row>
    <row r="577" spans="1:7" x14ac:dyDescent="0.55000000000000004">
      <c r="A577" s="1">
        <v>40023</v>
      </c>
      <c r="B577">
        <v>2009</v>
      </c>
      <c r="C577">
        <v>7</v>
      </c>
      <c r="D577" t="s">
        <v>1608</v>
      </c>
      <c r="E577" t="s">
        <v>1609</v>
      </c>
      <c r="F577">
        <v>31</v>
      </c>
      <c r="G577" t="s">
        <v>1597</v>
      </c>
    </row>
    <row r="578" spans="1:7" x14ac:dyDescent="0.55000000000000004">
      <c r="A578" s="1">
        <v>40024</v>
      </c>
      <c r="B578">
        <v>2009</v>
      </c>
      <c r="C578">
        <v>7</v>
      </c>
      <c r="D578" t="s">
        <v>1608</v>
      </c>
      <c r="E578" t="s">
        <v>1609</v>
      </c>
      <c r="F578">
        <v>31</v>
      </c>
      <c r="G578" t="s">
        <v>1598</v>
      </c>
    </row>
    <row r="579" spans="1:7" x14ac:dyDescent="0.55000000000000004">
      <c r="A579" s="1">
        <v>40025</v>
      </c>
      <c r="B579">
        <v>2009</v>
      </c>
      <c r="C579">
        <v>7</v>
      </c>
      <c r="D579" t="s">
        <v>1608</v>
      </c>
      <c r="E579" t="s">
        <v>1609</v>
      </c>
      <c r="F579">
        <v>31</v>
      </c>
      <c r="G579" t="s">
        <v>1599</v>
      </c>
    </row>
    <row r="580" spans="1:7" x14ac:dyDescent="0.55000000000000004">
      <c r="A580" s="1">
        <v>40026</v>
      </c>
      <c r="B580">
        <v>2009</v>
      </c>
      <c r="C580">
        <v>8</v>
      </c>
      <c r="D580" t="s">
        <v>1610</v>
      </c>
      <c r="E580" t="s">
        <v>1609</v>
      </c>
      <c r="F580">
        <v>31</v>
      </c>
      <c r="G580" t="s">
        <v>1600</v>
      </c>
    </row>
    <row r="581" spans="1:7" x14ac:dyDescent="0.55000000000000004">
      <c r="A581" s="1">
        <v>40027</v>
      </c>
      <c r="B581">
        <v>2009</v>
      </c>
      <c r="C581">
        <v>8</v>
      </c>
      <c r="D581" t="s">
        <v>1610</v>
      </c>
      <c r="E581" t="s">
        <v>1609</v>
      </c>
      <c r="F581">
        <v>32</v>
      </c>
      <c r="G581" t="s">
        <v>1601</v>
      </c>
    </row>
    <row r="582" spans="1:7" x14ac:dyDescent="0.55000000000000004">
      <c r="A582" s="1">
        <v>40028</v>
      </c>
      <c r="B582">
        <v>2009</v>
      </c>
      <c r="C582">
        <v>8</v>
      </c>
      <c r="D582" t="s">
        <v>1610</v>
      </c>
      <c r="E582" t="s">
        <v>1609</v>
      </c>
      <c r="F582">
        <v>32</v>
      </c>
      <c r="G582" t="s">
        <v>1602</v>
      </c>
    </row>
    <row r="583" spans="1:7" x14ac:dyDescent="0.55000000000000004">
      <c r="A583" s="1">
        <v>40029</v>
      </c>
      <c r="B583">
        <v>2009</v>
      </c>
      <c r="C583">
        <v>8</v>
      </c>
      <c r="D583" t="s">
        <v>1610</v>
      </c>
      <c r="E583" t="s">
        <v>1609</v>
      </c>
      <c r="F583">
        <v>32</v>
      </c>
      <c r="G583" t="s">
        <v>1596</v>
      </c>
    </row>
    <row r="584" spans="1:7" x14ac:dyDescent="0.55000000000000004">
      <c r="A584" s="1">
        <v>40030</v>
      </c>
      <c r="B584">
        <v>2009</v>
      </c>
      <c r="C584">
        <v>8</v>
      </c>
      <c r="D584" t="s">
        <v>1610</v>
      </c>
      <c r="E584" t="s">
        <v>1609</v>
      </c>
      <c r="F584">
        <v>32</v>
      </c>
      <c r="G584" t="s">
        <v>1597</v>
      </c>
    </row>
    <row r="585" spans="1:7" x14ac:dyDescent="0.55000000000000004">
      <c r="A585" s="1">
        <v>40031</v>
      </c>
      <c r="B585">
        <v>2009</v>
      </c>
      <c r="C585">
        <v>8</v>
      </c>
      <c r="D585" t="s">
        <v>1610</v>
      </c>
      <c r="E585" t="s">
        <v>1609</v>
      </c>
      <c r="F585">
        <v>32</v>
      </c>
      <c r="G585" t="s">
        <v>1598</v>
      </c>
    </row>
    <row r="586" spans="1:7" x14ac:dyDescent="0.55000000000000004">
      <c r="A586" s="1">
        <v>40032</v>
      </c>
      <c r="B586">
        <v>2009</v>
      </c>
      <c r="C586">
        <v>8</v>
      </c>
      <c r="D586" t="s">
        <v>1610</v>
      </c>
      <c r="E586" t="s">
        <v>1609</v>
      </c>
      <c r="F586">
        <v>32</v>
      </c>
      <c r="G586" t="s">
        <v>1599</v>
      </c>
    </row>
    <row r="587" spans="1:7" x14ac:dyDescent="0.55000000000000004">
      <c r="A587" s="1">
        <v>40033</v>
      </c>
      <c r="B587">
        <v>2009</v>
      </c>
      <c r="C587">
        <v>8</v>
      </c>
      <c r="D587" t="s">
        <v>1610</v>
      </c>
      <c r="E587" t="s">
        <v>1609</v>
      </c>
      <c r="F587">
        <v>32</v>
      </c>
      <c r="G587" t="s">
        <v>1600</v>
      </c>
    </row>
    <row r="588" spans="1:7" x14ac:dyDescent="0.55000000000000004">
      <c r="A588" s="1">
        <v>40034</v>
      </c>
      <c r="B588">
        <v>2009</v>
      </c>
      <c r="C588">
        <v>8</v>
      </c>
      <c r="D588" t="s">
        <v>1610</v>
      </c>
      <c r="E588" t="s">
        <v>1609</v>
      </c>
      <c r="F588">
        <v>33</v>
      </c>
      <c r="G588" t="s">
        <v>1601</v>
      </c>
    </row>
    <row r="589" spans="1:7" x14ac:dyDescent="0.55000000000000004">
      <c r="A589" s="1">
        <v>40035</v>
      </c>
      <c r="B589">
        <v>2009</v>
      </c>
      <c r="C589">
        <v>8</v>
      </c>
      <c r="D589" t="s">
        <v>1610</v>
      </c>
      <c r="E589" t="s">
        <v>1609</v>
      </c>
      <c r="F589">
        <v>33</v>
      </c>
      <c r="G589" t="s">
        <v>1602</v>
      </c>
    </row>
    <row r="590" spans="1:7" x14ac:dyDescent="0.55000000000000004">
      <c r="A590" s="1">
        <v>40036</v>
      </c>
      <c r="B590">
        <v>2009</v>
      </c>
      <c r="C590">
        <v>8</v>
      </c>
      <c r="D590" t="s">
        <v>1610</v>
      </c>
      <c r="E590" t="s">
        <v>1609</v>
      </c>
      <c r="F590">
        <v>33</v>
      </c>
      <c r="G590" t="s">
        <v>1596</v>
      </c>
    </row>
    <row r="591" spans="1:7" x14ac:dyDescent="0.55000000000000004">
      <c r="A591" s="1">
        <v>40037</v>
      </c>
      <c r="B591">
        <v>2009</v>
      </c>
      <c r="C591">
        <v>8</v>
      </c>
      <c r="D591" t="s">
        <v>1610</v>
      </c>
      <c r="E591" t="s">
        <v>1609</v>
      </c>
      <c r="F591">
        <v>33</v>
      </c>
      <c r="G591" t="s">
        <v>1597</v>
      </c>
    </row>
    <row r="592" spans="1:7" x14ac:dyDescent="0.55000000000000004">
      <c r="A592" s="1">
        <v>40038</v>
      </c>
      <c r="B592">
        <v>2009</v>
      </c>
      <c r="C592">
        <v>8</v>
      </c>
      <c r="D592" t="s">
        <v>1610</v>
      </c>
      <c r="E592" t="s">
        <v>1609</v>
      </c>
      <c r="F592">
        <v>33</v>
      </c>
      <c r="G592" t="s">
        <v>1598</v>
      </c>
    </row>
    <row r="593" spans="1:7" x14ac:dyDescent="0.55000000000000004">
      <c r="A593" s="1">
        <v>40039</v>
      </c>
      <c r="B593">
        <v>2009</v>
      </c>
      <c r="C593">
        <v>8</v>
      </c>
      <c r="D593" t="s">
        <v>1610</v>
      </c>
      <c r="E593" t="s">
        <v>1609</v>
      </c>
      <c r="F593">
        <v>33</v>
      </c>
      <c r="G593" t="s">
        <v>1599</v>
      </c>
    </row>
    <row r="594" spans="1:7" x14ac:dyDescent="0.55000000000000004">
      <c r="A594" s="1">
        <v>40040</v>
      </c>
      <c r="B594">
        <v>2009</v>
      </c>
      <c r="C594">
        <v>8</v>
      </c>
      <c r="D594" t="s">
        <v>1610</v>
      </c>
      <c r="E594" t="s">
        <v>1609</v>
      </c>
      <c r="F594">
        <v>33</v>
      </c>
      <c r="G594" t="s">
        <v>1600</v>
      </c>
    </row>
    <row r="595" spans="1:7" x14ac:dyDescent="0.55000000000000004">
      <c r="A595" s="1">
        <v>40041</v>
      </c>
      <c r="B595">
        <v>2009</v>
      </c>
      <c r="C595">
        <v>8</v>
      </c>
      <c r="D595" t="s">
        <v>1610</v>
      </c>
      <c r="E595" t="s">
        <v>1609</v>
      </c>
      <c r="F595">
        <v>34</v>
      </c>
      <c r="G595" t="s">
        <v>1601</v>
      </c>
    </row>
    <row r="596" spans="1:7" x14ac:dyDescent="0.55000000000000004">
      <c r="A596" s="1">
        <v>40042</v>
      </c>
      <c r="B596">
        <v>2009</v>
      </c>
      <c r="C596">
        <v>8</v>
      </c>
      <c r="D596" t="s">
        <v>1610</v>
      </c>
      <c r="E596" t="s">
        <v>1609</v>
      </c>
      <c r="F596">
        <v>34</v>
      </c>
      <c r="G596" t="s">
        <v>1602</v>
      </c>
    </row>
    <row r="597" spans="1:7" x14ac:dyDescent="0.55000000000000004">
      <c r="A597" s="1">
        <v>40043</v>
      </c>
      <c r="B597">
        <v>2009</v>
      </c>
      <c r="C597">
        <v>8</v>
      </c>
      <c r="D597" t="s">
        <v>1610</v>
      </c>
      <c r="E597" t="s">
        <v>1609</v>
      </c>
      <c r="F597">
        <v>34</v>
      </c>
      <c r="G597" t="s">
        <v>1596</v>
      </c>
    </row>
    <row r="598" spans="1:7" x14ac:dyDescent="0.55000000000000004">
      <c r="A598" s="1">
        <v>40044</v>
      </c>
      <c r="B598">
        <v>2009</v>
      </c>
      <c r="C598">
        <v>8</v>
      </c>
      <c r="D598" t="s">
        <v>1610</v>
      </c>
      <c r="E598" t="s">
        <v>1609</v>
      </c>
      <c r="F598">
        <v>34</v>
      </c>
      <c r="G598" t="s">
        <v>1597</v>
      </c>
    </row>
    <row r="599" spans="1:7" x14ac:dyDescent="0.55000000000000004">
      <c r="A599" s="1">
        <v>40045</v>
      </c>
      <c r="B599">
        <v>2009</v>
      </c>
      <c r="C599">
        <v>8</v>
      </c>
      <c r="D599" t="s">
        <v>1610</v>
      </c>
      <c r="E599" t="s">
        <v>1609</v>
      </c>
      <c r="F599">
        <v>34</v>
      </c>
      <c r="G599" t="s">
        <v>1598</v>
      </c>
    </row>
    <row r="600" spans="1:7" x14ac:dyDescent="0.55000000000000004">
      <c r="A600" s="1">
        <v>40046</v>
      </c>
      <c r="B600">
        <v>2009</v>
      </c>
      <c r="C600">
        <v>8</v>
      </c>
      <c r="D600" t="s">
        <v>1610</v>
      </c>
      <c r="E600" t="s">
        <v>1609</v>
      </c>
      <c r="F600">
        <v>34</v>
      </c>
      <c r="G600" t="s">
        <v>1599</v>
      </c>
    </row>
    <row r="601" spans="1:7" x14ac:dyDescent="0.55000000000000004">
      <c r="A601" s="1">
        <v>40047</v>
      </c>
      <c r="B601">
        <v>2009</v>
      </c>
      <c r="C601">
        <v>8</v>
      </c>
      <c r="D601" t="s">
        <v>1610</v>
      </c>
      <c r="E601" t="s">
        <v>1609</v>
      </c>
      <c r="F601">
        <v>34</v>
      </c>
      <c r="G601" t="s">
        <v>1600</v>
      </c>
    </row>
    <row r="602" spans="1:7" x14ac:dyDescent="0.55000000000000004">
      <c r="A602" s="1">
        <v>40048</v>
      </c>
      <c r="B602">
        <v>2009</v>
      </c>
      <c r="C602">
        <v>8</v>
      </c>
      <c r="D602" t="s">
        <v>1610</v>
      </c>
      <c r="E602" t="s">
        <v>1609</v>
      </c>
      <c r="F602">
        <v>35</v>
      </c>
      <c r="G602" t="s">
        <v>1601</v>
      </c>
    </row>
    <row r="603" spans="1:7" x14ac:dyDescent="0.55000000000000004">
      <c r="A603" s="1">
        <v>40049</v>
      </c>
      <c r="B603">
        <v>2009</v>
      </c>
      <c r="C603">
        <v>8</v>
      </c>
      <c r="D603" t="s">
        <v>1610</v>
      </c>
      <c r="E603" t="s">
        <v>1609</v>
      </c>
      <c r="F603">
        <v>35</v>
      </c>
      <c r="G603" t="s">
        <v>1602</v>
      </c>
    </row>
    <row r="604" spans="1:7" x14ac:dyDescent="0.55000000000000004">
      <c r="A604" s="1">
        <v>40050</v>
      </c>
      <c r="B604">
        <v>2009</v>
      </c>
      <c r="C604">
        <v>8</v>
      </c>
      <c r="D604" t="s">
        <v>1610</v>
      </c>
      <c r="E604" t="s">
        <v>1609</v>
      </c>
      <c r="F604">
        <v>35</v>
      </c>
      <c r="G604" t="s">
        <v>1596</v>
      </c>
    </row>
    <row r="605" spans="1:7" x14ac:dyDescent="0.55000000000000004">
      <c r="A605" s="1">
        <v>40051</v>
      </c>
      <c r="B605">
        <v>2009</v>
      </c>
      <c r="C605">
        <v>8</v>
      </c>
      <c r="D605" t="s">
        <v>1610</v>
      </c>
      <c r="E605" t="s">
        <v>1609</v>
      </c>
      <c r="F605">
        <v>35</v>
      </c>
      <c r="G605" t="s">
        <v>1597</v>
      </c>
    </row>
    <row r="606" spans="1:7" x14ac:dyDescent="0.55000000000000004">
      <c r="A606" s="1">
        <v>40052</v>
      </c>
      <c r="B606">
        <v>2009</v>
      </c>
      <c r="C606">
        <v>8</v>
      </c>
      <c r="D606" t="s">
        <v>1610</v>
      </c>
      <c r="E606" t="s">
        <v>1609</v>
      </c>
      <c r="F606">
        <v>35</v>
      </c>
      <c r="G606" t="s">
        <v>1598</v>
      </c>
    </row>
    <row r="607" spans="1:7" x14ac:dyDescent="0.55000000000000004">
      <c r="A607" s="1">
        <v>40053</v>
      </c>
      <c r="B607">
        <v>2009</v>
      </c>
      <c r="C607">
        <v>8</v>
      </c>
      <c r="D607" t="s">
        <v>1610</v>
      </c>
      <c r="E607" t="s">
        <v>1609</v>
      </c>
      <c r="F607">
        <v>35</v>
      </c>
      <c r="G607" t="s">
        <v>1599</v>
      </c>
    </row>
    <row r="608" spans="1:7" x14ac:dyDescent="0.55000000000000004">
      <c r="A608" s="1">
        <v>40054</v>
      </c>
      <c r="B608">
        <v>2009</v>
      </c>
      <c r="C608">
        <v>8</v>
      </c>
      <c r="D608" t="s">
        <v>1610</v>
      </c>
      <c r="E608" t="s">
        <v>1609</v>
      </c>
      <c r="F608">
        <v>35</v>
      </c>
      <c r="G608" t="s">
        <v>1600</v>
      </c>
    </row>
    <row r="609" spans="1:7" x14ac:dyDescent="0.55000000000000004">
      <c r="A609" s="1">
        <v>40055</v>
      </c>
      <c r="B609">
        <v>2009</v>
      </c>
      <c r="C609">
        <v>8</v>
      </c>
      <c r="D609" t="s">
        <v>1610</v>
      </c>
      <c r="E609" t="s">
        <v>1609</v>
      </c>
      <c r="F609">
        <v>36</v>
      </c>
      <c r="G609" t="s">
        <v>1601</v>
      </c>
    </row>
    <row r="610" spans="1:7" x14ac:dyDescent="0.55000000000000004">
      <c r="A610" s="1">
        <v>40056</v>
      </c>
      <c r="B610">
        <v>2009</v>
      </c>
      <c r="C610">
        <v>8</v>
      </c>
      <c r="D610" t="s">
        <v>1610</v>
      </c>
      <c r="E610" t="s">
        <v>1609</v>
      </c>
      <c r="F610">
        <v>36</v>
      </c>
      <c r="G610" t="s">
        <v>1602</v>
      </c>
    </row>
    <row r="611" spans="1:7" x14ac:dyDescent="0.55000000000000004">
      <c r="A611" s="1">
        <v>40057</v>
      </c>
      <c r="B611">
        <v>2009</v>
      </c>
      <c r="C611">
        <v>9</v>
      </c>
      <c r="D611" t="s">
        <v>1611</v>
      </c>
      <c r="E611" t="s">
        <v>1609</v>
      </c>
      <c r="F611">
        <v>36</v>
      </c>
      <c r="G611" t="s">
        <v>1596</v>
      </c>
    </row>
    <row r="612" spans="1:7" x14ac:dyDescent="0.55000000000000004">
      <c r="A612" s="1">
        <v>40058</v>
      </c>
      <c r="B612">
        <v>2009</v>
      </c>
      <c r="C612">
        <v>9</v>
      </c>
      <c r="D612" t="s">
        <v>1611</v>
      </c>
      <c r="E612" t="s">
        <v>1609</v>
      </c>
      <c r="F612">
        <v>36</v>
      </c>
      <c r="G612" t="s">
        <v>1597</v>
      </c>
    </row>
    <row r="613" spans="1:7" x14ac:dyDescent="0.55000000000000004">
      <c r="A613" s="1">
        <v>40059</v>
      </c>
      <c r="B613">
        <v>2009</v>
      </c>
      <c r="C613">
        <v>9</v>
      </c>
      <c r="D613" t="s">
        <v>1611</v>
      </c>
      <c r="E613" t="s">
        <v>1609</v>
      </c>
      <c r="F613">
        <v>36</v>
      </c>
      <c r="G613" t="s">
        <v>1598</v>
      </c>
    </row>
    <row r="614" spans="1:7" x14ac:dyDescent="0.55000000000000004">
      <c r="A614" s="1">
        <v>40060</v>
      </c>
      <c r="B614">
        <v>2009</v>
      </c>
      <c r="C614">
        <v>9</v>
      </c>
      <c r="D614" t="s">
        <v>1611</v>
      </c>
      <c r="E614" t="s">
        <v>1609</v>
      </c>
      <c r="F614">
        <v>36</v>
      </c>
      <c r="G614" t="s">
        <v>1599</v>
      </c>
    </row>
    <row r="615" spans="1:7" x14ac:dyDescent="0.55000000000000004">
      <c r="A615" s="1">
        <v>40061</v>
      </c>
      <c r="B615">
        <v>2009</v>
      </c>
      <c r="C615">
        <v>9</v>
      </c>
      <c r="D615" t="s">
        <v>1611</v>
      </c>
      <c r="E615" t="s">
        <v>1609</v>
      </c>
      <c r="F615">
        <v>36</v>
      </c>
      <c r="G615" t="s">
        <v>1600</v>
      </c>
    </row>
    <row r="616" spans="1:7" x14ac:dyDescent="0.55000000000000004">
      <c r="A616" s="1">
        <v>40062</v>
      </c>
      <c r="B616">
        <v>2009</v>
      </c>
      <c r="C616">
        <v>9</v>
      </c>
      <c r="D616" t="s">
        <v>1611</v>
      </c>
      <c r="E616" t="s">
        <v>1609</v>
      </c>
      <c r="F616">
        <v>37</v>
      </c>
      <c r="G616" t="s">
        <v>1601</v>
      </c>
    </row>
    <row r="617" spans="1:7" x14ac:dyDescent="0.55000000000000004">
      <c r="A617" s="1">
        <v>40063</v>
      </c>
      <c r="B617">
        <v>2009</v>
      </c>
      <c r="C617">
        <v>9</v>
      </c>
      <c r="D617" t="s">
        <v>1611</v>
      </c>
      <c r="E617" t="s">
        <v>1609</v>
      </c>
      <c r="F617">
        <v>37</v>
      </c>
      <c r="G617" t="s">
        <v>1602</v>
      </c>
    </row>
    <row r="618" spans="1:7" x14ac:dyDescent="0.55000000000000004">
      <c r="A618" s="1">
        <v>40064</v>
      </c>
      <c r="B618">
        <v>2009</v>
      </c>
      <c r="C618">
        <v>9</v>
      </c>
      <c r="D618" t="s">
        <v>1611</v>
      </c>
      <c r="E618" t="s">
        <v>1609</v>
      </c>
      <c r="F618">
        <v>37</v>
      </c>
      <c r="G618" t="s">
        <v>1596</v>
      </c>
    </row>
    <row r="619" spans="1:7" x14ac:dyDescent="0.55000000000000004">
      <c r="A619" s="1">
        <v>40065</v>
      </c>
      <c r="B619">
        <v>2009</v>
      </c>
      <c r="C619">
        <v>9</v>
      </c>
      <c r="D619" t="s">
        <v>1611</v>
      </c>
      <c r="E619" t="s">
        <v>1609</v>
      </c>
      <c r="F619">
        <v>37</v>
      </c>
      <c r="G619" t="s">
        <v>1597</v>
      </c>
    </row>
    <row r="620" spans="1:7" x14ac:dyDescent="0.55000000000000004">
      <c r="A620" s="1">
        <v>40066</v>
      </c>
      <c r="B620">
        <v>2009</v>
      </c>
      <c r="C620">
        <v>9</v>
      </c>
      <c r="D620" t="s">
        <v>1611</v>
      </c>
      <c r="E620" t="s">
        <v>1609</v>
      </c>
      <c r="F620">
        <v>37</v>
      </c>
      <c r="G620" t="s">
        <v>1598</v>
      </c>
    </row>
    <row r="621" spans="1:7" x14ac:dyDescent="0.55000000000000004">
      <c r="A621" s="1">
        <v>40067</v>
      </c>
      <c r="B621">
        <v>2009</v>
      </c>
      <c r="C621">
        <v>9</v>
      </c>
      <c r="D621" t="s">
        <v>1611</v>
      </c>
      <c r="E621" t="s">
        <v>1609</v>
      </c>
      <c r="F621">
        <v>37</v>
      </c>
      <c r="G621" t="s">
        <v>1599</v>
      </c>
    </row>
    <row r="622" spans="1:7" x14ac:dyDescent="0.55000000000000004">
      <c r="A622" s="1">
        <v>40068</v>
      </c>
      <c r="B622">
        <v>2009</v>
      </c>
      <c r="C622">
        <v>9</v>
      </c>
      <c r="D622" t="s">
        <v>1611</v>
      </c>
      <c r="E622" t="s">
        <v>1609</v>
      </c>
      <c r="F622">
        <v>37</v>
      </c>
      <c r="G622" t="s">
        <v>1600</v>
      </c>
    </row>
    <row r="623" spans="1:7" x14ac:dyDescent="0.55000000000000004">
      <c r="A623" s="1">
        <v>40069</v>
      </c>
      <c r="B623">
        <v>2009</v>
      </c>
      <c r="C623">
        <v>9</v>
      </c>
      <c r="D623" t="s">
        <v>1611</v>
      </c>
      <c r="E623" t="s">
        <v>1609</v>
      </c>
      <c r="F623">
        <v>38</v>
      </c>
      <c r="G623" t="s">
        <v>1601</v>
      </c>
    </row>
    <row r="624" spans="1:7" x14ac:dyDescent="0.55000000000000004">
      <c r="A624" s="1">
        <v>40070</v>
      </c>
      <c r="B624">
        <v>2009</v>
      </c>
      <c r="C624">
        <v>9</v>
      </c>
      <c r="D624" t="s">
        <v>1611</v>
      </c>
      <c r="E624" t="s">
        <v>1609</v>
      </c>
      <c r="F624">
        <v>38</v>
      </c>
      <c r="G624" t="s">
        <v>1602</v>
      </c>
    </row>
    <row r="625" spans="1:7" x14ac:dyDescent="0.55000000000000004">
      <c r="A625" s="1">
        <v>40071</v>
      </c>
      <c r="B625">
        <v>2009</v>
      </c>
      <c r="C625">
        <v>9</v>
      </c>
      <c r="D625" t="s">
        <v>1611</v>
      </c>
      <c r="E625" t="s">
        <v>1609</v>
      </c>
      <c r="F625">
        <v>38</v>
      </c>
      <c r="G625" t="s">
        <v>1596</v>
      </c>
    </row>
    <row r="626" spans="1:7" x14ac:dyDescent="0.55000000000000004">
      <c r="A626" s="1">
        <v>40072</v>
      </c>
      <c r="B626">
        <v>2009</v>
      </c>
      <c r="C626">
        <v>9</v>
      </c>
      <c r="D626" t="s">
        <v>1611</v>
      </c>
      <c r="E626" t="s">
        <v>1609</v>
      </c>
      <c r="F626">
        <v>38</v>
      </c>
      <c r="G626" t="s">
        <v>1597</v>
      </c>
    </row>
    <row r="627" spans="1:7" x14ac:dyDescent="0.55000000000000004">
      <c r="A627" s="1">
        <v>40073</v>
      </c>
      <c r="B627">
        <v>2009</v>
      </c>
      <c r="C627">
        <v>9</v>
      </c>
      <c r="D627" t="s">
        <v>1611</v>
      </c>
      <c r="E627" t="s">
        <v>1609</v>
      </c>
      <c r="F627">
        <v>38</v>
      </c>
      <c r="G627" t="s">
        <v>1598</v>
      </c>
    </row>
    <row r="628" spans="1:7" x14ac:dyDescent="0.55000000000000004">
      <c r="A628" s="1">
        <v>40074</v>
      </c>
      <c r="B628">
        <v>2009</v>
      </c>
      <c r="C628">
        <v>9</v>
      </c>
      <c r="D628" t="s">
        <v>1611</v>
      </c>
      <c r="E628" t="s">
        <v>1609</v>
      </c>
      <c r="F628">
        <v>38</v>
      </c>
      <c r="G628" t="s">
        <v>1599</v>
      </c>
    </row>
    <row r="629" spans="1:7" x14ac:dyDescent="0.55000000000000004">
      <c r="A629" s="1">
        <v>40075</v>
      </c>
      <c r="B629">
        <v>2009</v>
      </c>
      <c r="C629">
        <v>9</v>
      </c>
      <c r="D629" t="s">
        <v>1611</v>
      </c>
      <c r="E629" t="s">
        <v>1609</v>
      </c>
      <c r="F629">
        <v>38</v>
      </c>
      <c r="G629" t="s">
        <v>1600</v>
      </c>
    </row>
    <row r="630" spans="1:7" x14ac:dyDescent="0.55000000000000004">
      <c r="A630" s="1">
        <v>40076</v>
      </c>
      <c r="B630">
        <v>2009</v>
      </c>
      <c r="C630">
        <v>9</v>
      </c>
      <c r="D630" t="s">
        <v>1611</v>
      </c>
      <c r="E630" t="s">
        <v>1609</v>
      </c>
      <c r="F630">
        <v>39</v>
      </c>
      <c r="G630" t="s">
        <v>1601</v>
      </c>
    </row>
    <row r="631" spans="1:7" x14ac:dyDescent="0.55000000000000004">
      <c r="A631" s="1">
        <v>40077</v>
      </c>
      <c r="B631">
        <v>2009</v>
      </c>
      <c r="C631">
        <v>9</v>
      </c>
      <c r="D631" t="s">
        <v>1611</v>
      </c>
      <c r="E631" t="s">
        <v>1609</v>
      </c>
      <c r="F631">
        <v>39</v>
      </c>
      <c r="G631" t="s">
        <v>1602</v>
      </c>
    </row>
    <row r="632" spans="1:7" x14ac:dyDescent="0.55000000000000004">
      <c r="A632" s="1">
        <v>40078</v>
      </c>
      <c r="B632">
        <v>2009</v>
      </c>
      <c r="C632">
        <v>9</v>
      </c>
      <c r="D632" t="s">
        <v>1611</v>
      </c>
      <c r="E632" t="s">
        <v>1609</v>
      </c>
      <c r="F632">
        <v>39</v>
      </c>
      <c r="G632" t="s">
        <v>1596</v>
      </c>
    </row>
    <row r="633" spans="1:7" x14ac:dyDescent="0.55000000000000004">
      <c r="A633" s="1">
        <v>40079</v>
      </c>
      <c r="B633">
        <v>2009</v>
      </c>
      <c r="C633">
        <v>9</v>
      </c>
      <c r="D633" t="s">
        <v>1611</v>
      </c>
      <c r="E633" t="s">
        <v>1609</v>
      </c>
      <c r="F633">
        <v>39</v>
      </c>
      <c r="G633" t="s">
        <v>1597</v>
      </c>
    </row>
    <row r="634" spans="1:7" x14ac:dyDescent="0.55000000000000004">
      <c r="A634" s="1">
        <v>40080</v>
      </c>
      <c r="B634">
        <v>2009</v>
      </c>
      <c r="C634">
        <v>9</v>
      </c>
      <c r="D634" t="s">
        <v>1611</v>
      </c>
      <c r="E634" t="s">
        <v>1609</v>
      </c>
      <c r="F634">
        <v>39</v>
      </c>
      <c r="G634" t="s">
        <v>1598</v>
      </c>
    </row>
    <row r="635" spans="1:7" x14ac:dyDescent="0.55000000000000004">
      <c r="A635" s="1">
        <v>40081</v>
      </c>
      <c r="B635">
        <v>2009</v>
      </c>
      <c r="C635">
        <v>9</v>
      </c>
      <c r="D635" t="s">
        <v>1611</v>
      </c>
      <c r="E635" t="s">
        <v>1609</v>
      </c>
      <c r="F635">
        <v>39</v>
      </c>
      <c r="G635" t="s">
        <v>1599</v>
      </c>
    </row>
    <row r="636" spans="1:7" x14ac:dyDescent="0.55000000000000004">
      <c r="A636" s="1">
        <v>40082</v>
      </c>
      <c r="B636">
        <v>2009</v>
      </c>
      <c r="C636">
        <v>9</v>
      </c>
      <c r="D636" t="s">
        <v>1611</v>
      </c>
      <c r="E636" t="s">
        <v>1609</v>
      </c>
      <c r="F636">
        <v>39</v>
      </c>
      <c r="G636" t="s">
        <v>1600</v>
      </c>
    </row>
    <row r="637" spans="1:7" x14ac:dyDescent="0.55000000000000004">
      <c r="A637" s="1">
        <v>40083</v>
      </c>
      <c r="B637">
        <v>2009</v>
      </c>
      <c r="C637">
        <v>9</v>
      </c>
      <c r="D637" t="s">
        <v>1611</v>
      </c>
      <c r="E637" t="s">
        <v>1609</v>
      </c>
      <c r="F637">
        <v>40</v>
      </c>
      <c r="G637" t="s">
        <v>1601</v>
      </c>
    </row>
    <row r="638" spans="1:7" x14ac:dyDescent="0.55000000000000004">
      <c r="A638" s="1">
        <v>40084</v>
      </c>
      <c r="B638">
        <v>2009</v>
      </c>
      <c r="C638">
        <v>9</v>
      </c>
      <c r="D638" t="s">
        <v>1611</v>
      </c>
      <c r="E638" t="s">
        <v>1609</v>
      </c>
      <c r="F638">
        <v>40</v>
      </c>
      <c r="G638" t="s">
        <v>1602</v>
      </c>
    </row>
    <row r="639" spans="1:7" x14ac:dyDescent="0.55000000000000004">
      <c r="A639" s="1">
        <v>40085</v>
      </c>
      <c r="B639">
        <v>2009</v>
      </c>
      <c r="C639">
        <v>9</v>
      </c>
      <c r="D639" t="s">
        <v>1611</v>
      </c>
      <c r="E639" t="s">
        <v>1609</v>
      </c>
      <c r="F639">
        <v>40</v>
      </c>
      <c r="G639" t="s">
        <v>1596</v>
      </c>
    </row>
    <row r="640" spans="1:7" x14ac:dyDescent="0.55000000000000004">
      <c r="A640" s="1">
        <v>40086</v>
      </c>
      <c r="B640">
        <v>2009</v>
      </c>
      <c r="C640">
        <v>9</v>
      </c>
      <c r="D640" t="s">
        <v>1611</v>
      </c>
      <c r="E640" t="s">
        <v>1609</v>
      </c>
      <c r="F640">
        <v>40</v>
      </c>
      <c r="G640" t="s">
        <v>1597</v>
      </c>
    </row>
    <row r="641" spans="1:7" x14ac:dyDescent="0.55000000000000004">
      <c r="A641" s="1">
        <v>40087</v>
      </c>
      <c r="B641">
        <v>2009</v>
      </c>
      <c r="C641">
        <v>10</v>
      </c>
      <c r="D641" t="s">
        <v>1612</v>
      </c>
      <c r="E641" t="s">
        <v>1613</v>
      </c>
      <c r="F641">
        <v>40</v>
      </c>
      <c r="G641" t="s">
        <v>1598</v>
      </c>
    </row>
    <row r="642" spans="1:7" x14ac:dyDescent="0.55000000000000004">
      <c r="A642" s="1">
        <v>40088</v>
      </c>
      <c r="B642">
        <v>2009</v>
      </c>
      <c r="C642">
        <v>10</v>
      </c>
      <c r="D642" t="s">
        <v>1612</v>
      </c>
      <c r="E642" t="s">
        <v>1613</v>
      </c>
      <c r="F642">
        <v>40</v>
      </c>
      <c r="G642" t="s">
        <v>1599</v>
      </c>
    </row>
    <row r="643" spans="1:7" x14ac:dyDescent="0.55000000000000004">
      <c r="A643" s="1">
        <v>40089</v>
      </c>
      <c r="B643">
        <v>2009</v>
      </c>
      <c r="C643">
        <v>10</v>
      </c>
      <c r="D643" t="s">
        <v>1612</v>
      </c>
      <c r="E643" t="s">
        <v>1613</v>
      </c>
      <c r="F643">
        <v>40</v>
      </c>
      <c r="G643" t="s">
        <v>1600</v>
      </c>
    </row>
    <row r="644" spans="1:7" x14ac:dyDescent="0.55000000000000004">
      <c r="A644" s="1">
        <v>40090</v>
      </c>
      <c r="B644">
        <v>2009</v>
      </c>
      <c r="C644">
        <v>10</v>
      </c>
      <c r="D644" t="s">
        <v>1612</v>
      </c>
      <c r="E644" t="s">
        <v>1613</v>
      </c>
      <c r="F644">
        <v>41</v>
      </c>
      <c r="G644" t="s">
        <v>1601</v>
      </c>
    </row>
    <row r="645" spans="1:7" x14ac:dyDescent="0.55000000000000004">
      <c r="A645" s="1">
        <v>40091</v>
      </c>
      <c r="B645">
        <v>2009</v>
      </c>
      <c r="C645">
        <v>10</v>
      </c>
      <c r="D645" t="s">
        <v>1612</v>
      </c>
      <c r="E645" t="s">
        <v>1613</v>
      </c>
      <c r="F645">
        <v>41</v>
      </c>
      <c r="G645" t="s">
        <v>1602</v>
      </c>
    </row>
    <row r="646" spans="1:7" x14ac:dyDescent="0.55000000000000004">
      <c r="A646" s="1">
        <v>40092</v>
      </c>
      <c r="B646">
        <v>2009</v>
      </c>
      <c r="C646">
        <v>10</v>
      </c>
      <c r="D646" t="s">
        <v>1612</v>
      </c>
      <c r="E646" t="s">
        <v>1613</v>
      </c>
      <c r="F646">
        <v>41</v>
      </c>
      <c r="G646" t="s">
        <v>1596</v>
      </c>
    </row>
    <row r="647" spans="1:7" x14ac:dyDescent="0.55000000000000004">
      <c r="A647" s="1">
        <v>40093</v>
      </c>
      <c r="B647">
        <v>2009</v>
      </c>
      <c r="C647">
        <v>10</v>
      </c>
      <c r="D647" t="s">
        <v>1612</v>
      </c>
      <c r="E647" t="s">
        <v>1613</v>
      </c>
      <c r="F647">
        <v>41</v>
      </c>
      <c r="G647" t="s">
        <v>1597</v>
      </c>
    </row>
    <row r="648" spans="1:7" x14ac:dyDescent="0.55000000000000004">
      <c r="A648" s="1">
        <v>40094</v>
      </c>
      <c r="B648">
        <v>2009</v>
      </c>
      <c r="C648">
        <v>10</v>
      </c>
      <c r="D648" t="s">
        <v>1612</v>
      </c>
      <c r="E648" t="s">
        <v>1613</v>
      </c>
      <c r="F648">
        <v>41</v>
      </c>
      <c r="G648" t="s">
        <v>1598</v>
      </c>
    </row>
    <row r="649" spans="1:7" x14ac:dyDescent="0.55000000000000004">
      <c r="A649" s="1">
        <v>40095</v>
      </c>
      <c r="B649">
        <v>2009</v>
      </c>
      <c r="C649">
        <v>10</v>
      </c>
      <c r="D649" t="s">
        <v>1612</v>
      </c>
      <c r="E649" t="s">
        <v>1613</v>
      </c>
      <c r="F649">
        <v>41</v>
      </c>
      <c r="G649" t="s">
        <v>1599</v>
      </c>
    </row>
    <row r="650" spans="1:7" x14ac:dyDescent="0.55000000000000004">
      <c r="A650" s="1">
        <v>40096</v>
      </c>
      <c r="B650">
        <v>2009</v>
      </c>
      <c r="C650">
        <v>10</v>
      </c>
      <c r="D650" t="s">
        <v>1612</v>
      </c>
      <c r="E650" t="s">
        <v>1613</v>
      </c>
      <c r="F650">
        <v>41</v>
      </c>
      <c r="G650" t="s">
        <v>1600</v>
      </c>
    </row>
    <row r="651" spans="1:7" x14ac:dyDescent="0.55000000000000004">
      <c r="A651" s="1">
        <v>40097</v>
      </c>
      <c r="B651">
        <v>2009</v>
      </c>
      <c r="C651">
        <v>10</v>
      </c>
      <c r="D651" t="s">
        <v>1612</v>
      </c>
      <c r="E651" t="s">
        <v>1613</v>
      </c>
      <c r="F651">
        <v>42</v>
      </c>
      <c r="G651" t="s">
        <v>1601</v>
      </c>
    </row>
    <row r="652" spans="1:7" x14ac:dyDescent="0.55000000000000004">
      <c r="A652" s="1">
        <v>40098</v>
      </c>
      <c r="B652">
        <v>2009</v>
      </c>
      <c r="C652">
        <v>10</v>
      </c>
      <c r="D652" t="s">
        <v>1612</v>
      </c>
      <c r="E652" t="s">
        <v>1613</v>
      </c>
      <c r="F652">
        <v>42</v>
      </c>
      <c r="G652" t="s">
        <v>1602</v>
      </c>
    </row>
    <row r="653" spans="1:7" x14ac:dyDescent="0.55000000000000004">
      <c r="A653" s="1">
        <v>40099</v>
      </c>
      <c r="B653">
        <v>2009</v>
      </c>
      <c r="C653">
        <v>10</v>
      </c>
      <c r="D653" t="s">
        <v>1612</v>
      </c>
      <c r="E653" t="s">
        <v>1613</v>
      </c>
      <c r="F653">
        <v>42</v>
      </c>
      <c r="G653" t="s">
        <v>1596</v>
      </c>
    </row>
    <row r="654" spans="1:7" x14ac:dyDescent="0.55000000000000004">
      <c r="A654" s="1">
        <v>40100</v>
      </c>
      <c r="B654">
        <v>2009</v>
      </c>
      <c r="C654">
        <v>10</v>
      </c>
      <c r="D654" t="s">
        <v>1612</v>
      </c>
      <c r="E654" t="s">
        <v>1613</v>
      </c>
      <c r="F654">
        <v>42</v>
      </c>
      <c r="G654" t="s">
        <v>1597</v>
      </c>
    </row>
    <row r="655" spans="1:7" x14ac:dyDescent="0.55000000000000004">
      <c r="A655" s="1">
        <v>40101</v>
      </c>
      <c r="B655">
        <v>2009</v>
      </c>
      <c r="C655">
        <v>10</v>
      </c>
      <c r="D655" t="s">
        <v>1612</v>
      </c>
      <c r="E655" t="s">
        <v>1613</v>
      </c>
      <c r="F655">
        <v>42</v>
      </c>
      <c r="G655" t="s">
        <v>1598</v>
      </c>
    </row>
    <row r="656" spans="1:7" x14ac:dyDescent="0.55000000000000004">
      <c r="A656" s="1">
        <v>40102</v>
      </c>
      <c r="B656">
        <v>2009</v>
      </c>
      <c r="C656">
        <v>10</v>
      </c>
      <c r="D656" t="s">
        <v>1612</v>
      </c>
      <c r="E656" t="s">
        <v>1613</v>
      </c>
      <c r="F656">
        <v>42</v>
      </c>
      <c r="G656" t="s">
        <v>1599</v>
      </c>
    </row>
    <row r="657" spans="1:7" x14ac:dyDescent="0.55000000000000004">
      <c r="A657" s="1">
        <v>40103</v>
      </c>
      <c r="B657">
        <v>2009</v>
      </c>
      <c r="C657">
        <v>10</v>
      </c>
      <c r="D657" t="s">
        <v>1612</v>
      </c>
      <c r="E657" t="s">
        <v>1613</v>
      </c>
      <c r="F657">
        <v>42</v>
      </c>
      <c r="G657" t="s">
        <v>1600</v>
      </c>
    </row>
    <row r="658" spans="1:7" x14ac:dyDescent="0.55000000000000004">
      <c r="A658" s="1">
        <v>40104</v>
      </c>
      <c r="B658">
        <v>2009</v>
      </c>
      <c r="C658">
        <v>10</v>
      </c>
      <c r="D658" t="s">
        <v>1612</v>
      </c>
      <c r="E658" t="s">
        <v>1613</v>
      </c>
      <c r="F658">
        <v>43</v>
      </c>
      <c r="G658" t="s">
        <v>1601</v>
      </c>
    </row>
    <row r="659" spans="1:7" x14ac:dyDescent="0.55000000000000004">
      <c r="A659" s="1">
        <v>40105</v>
      </c>
      <c r="B659">
        <v>2009</v>
      </c>
      <c r="C659">
        <v>10</v>
      </c>
      <c r="D659" t="s">
        <v>1612</v>
      </c>
      <c r="E659" t="s">
        <v>1613</v>
      </c>
      <c r="F659">
        <v>43</v>
      </c>
      <c r="G659" t="s">
        <v>1602</v>
      </c>
    </row>
    <row r="660" spans="1:7" x14ac:dyDescent="0.55000000000000004">
      <c r="A660" s="1">
        <v>40106</v>
      </c>
      <c r="B660">
        <v>2009</v>
      </c>
      <c r="C660">
        <v>10</v>
      </c>
      <c r="D660" t="s">
        <v>1612</v>
      </c>
      <c r="E660" t="s">
        <v>1613</v>
      </c>
      <c r="F660">
        <v>43</v>
      </c>
      <c r="G660" t="s">
        <v>1596</v>
      </c>
    </row>
    <row r="661" spans="1:7" x14ac:dyDescent="0.55000000000000004">
      <c r="A661" s="1">
        <v>40107</v>
      </c>
      <c r="B661">
        <v>2009</v>
      </c>
      <c r="C661">
        <v>10</v>
      </c>
      <c r="D661" t="s">
        <v>1612</v>
      </c>
      <c r="E661" t="s">
        <v>1613</v>
      </c>
      <c r="F661">
        <v>43</v>
      </c>
      <c r="G661" t="s">
        <v>1597</v>
      </c>
    </row>
    <row r="662" spans="1:7" x14ac:dyDescent="0.55000000000000004">
      <c r="A662" s="1">
        <v>40108</v>
      </c>
      <c r="B662">
        <v>2009</v>
      </c>
      <c r="C662">
        <v>10</v>
      </c>
      <c r="D662" t="s">
        <v>1612</v>
      </c>
      <c r="E662" t="s">
        <v>1613</v>
      </c>
      <c r="F662">
        <v>43</v>
      </c>
      <c r="G662" t="s">
        <v>1598</v>
      </c>
    </row>
    <row r="663" spans="1:7" x14ac:dyDescent="0.55000000000000004">
      <c r="A663" s="1">
        <v>40109</v>
      </c>
      <c r="B663">
        <v>2009</v>
      </c>
      <c r="C663">
        <v>10</v>
      </c>
      <c r="D663" t="s">
        <v>1612</v>
      </c>
      <c r="E663" t="s">
        <v>1613</v>
      </c>
      <c r="F663">
        <v>43</v>
      </c>
      <c r="G663" t="s">
        <v>1599</v>
      </c>
    </row>
    <row r="664" spans="1:7" x14ac:dyDescent="0.55000000000000004">
      <c r="A664" s="1">
        <v>40110</v>
      </c>
      <c r="B664">
        <v>2009</v>
      </c>
      <c r="C664">
        <v>10</v>
      </c>
      <c r="D664" t="s">
        <v>1612</v>
      </c>
      <c r="E664" t="s">
        <v>1613</v>
      </c>
      <c r="F664">
        <v>43</v>
      </c>
      <c r="G664" t="s">
        <v>1600</v>
      </c>
    </row>
    <row r="665" spans="1:7" x14ac:dyDescent="0.55000000000000004">
      <c r="A665" s="1">
        <v>40111</v>
      </c>
      <c r="B665">
        <v>2009</v>
      </c>
      <c r="C665">
        <v>10</v>
      </c>
      <c r="D665" t="s">
        <v>1612</v>
      </c>
      <c r="E665" t="s">
        <v>1613</v>
      </c>
      <c r="F665">
        <v>44</v>
      </c>
      <c r="G665" t="s">
        <v>1601</v>
      </c>
    </row>
    <row r="666" spans="1:7" x14ac:dyDescent="0.55000000000000004">
      <c r="A666" s="1">
        <v>40112</v>
      </c>
      <c r="B666">
        <v>2009</v>
      </c>
      <c r="C666">
        <v>10</v>
      </c>
      <c r="D666" t="s">
        <v>1612</v>
      </c>
      <c r="E666" t="s">
        <v>1613</v>
      </c>
      <c r="F666">
        <v>44</v>
      </c>
      <c r="G666" t="s">
        <v>1602</v>
      </c>
    </row>
    <row r="667" spans="1:7" x14ac:dyDescent="0.55000000000000004">
      <c r="A667" s="1">
        <v>40113</v>
      </c>
      <c r="B667">
        <v>2009</v>
      </c>
      <c r="C667">
        <v>10</v>
      </c>
      <c r="D667" t="s">
        <v>1612</v>
      </c>
      <c r="E667" t="s">
        <v>1613</v>
      </c>
      <c r="F667">
        <v>44</v>
      </c>
      <c r="G667" t="s">
        <v>1596</v>
      </c>
    </row>
    <row r="668" spans="1:7" x14ac:dyDescent="0.55000000000000004">
      <c r="A668" s="1">
        <v>40114</v>
      </c>
      <c r="B668">
        <v>2009</v>
      </c>
      <c r="C668">
        <v>10</v>
      </c>
      <c r="D668" t="s">
        <v>1612</v>
      </c>
      <c r="E668" t="s">
        <v>1613</v>
      </c>
      <c r="F668">
        <v>44</v>
      </c>
      <c r="G668" t="s">
        <v>1597</v>
      </c>
    </row>
    <row r="669" spans="1:7" x14ac:dyDescent="0.55000000000000004">
      <c r="A669" s="1">
        <v>40115</v>
      </c>
      <c r="B669">
        <v>2009</v>
      </c>
      <c r="C669">
        <v>10</v>
      </c>
      <c r="D669" t="s">
        <v>1612</v>
      </c>
      <c r="E669" t="s">
        <v>1613</v>
      </c>
      <c r="F669">
        <v>44</v>
      </c>
      <c r="G669" t="s">
        <v>1598</v>
      </c>
    </row>
    <row r="670" spans="1:7" x14ac:dyDescent="0.55000000000000004">
      <c r="A670" s="1">
        <v>40116</v>
      </c>
      <c r="B670">
        <v>2009</v>
      </c>
      <c r="C670">
        <v>10</v>
      </c>
      <c r="D670" t="s">
        <v>1612</v>
      </c>
      <c r="E670" t="s">
        <v>1613</v>
      </c>
      <c r="F670">
        <v>44</v>
      </c>
      <c r="G670" t="s">
        <v>1599</v>
      </c>
    </row>
    <row r="671" spans="1:7" x14ac:dyDescent="0.55000000000000004">
      <c r="A671" s="1">
        <v>40117</v>
      </c>
      <c r="B671">
        <v>2009</v>
      </c>
      <c r="C671">
        <v>10</v>
      </c>
      <c r="D671" t="s">
        <v>1612</v>
      </c>
      <c r="E671" t="s">
        <v>1613</v>
      </c>
      <c r="F671">
        <v>44</v>
      </c>
      <c r="G671" t="s">
        <v>1600</v>
      </c>
    </row>
    <row r="672" spans="1:7" x14ac:dyDescent="0.55000000000000004">
      <c r="A672" s="1">
        <v>40118</v>
      </c>
      <c r="B672">
        <v>2009</v>
      </c>
      <c r="C672">
        <v>11</v>
      </c>
      <c r="D672" t="s">
        <v>1614</v>
      </c>
      <c r="E672" t="s">
        <v>1613</v>
      </c>
      <c r="F672">
        <v>45</v>
      </c>
      <c r="G672" t="s">
        <v>1601</v>
      </c>
    </row>
    <row r="673" spans="1:7" x14ac:dyDescent="0.55000000000000004">
      <c r="A673" s="1">
        <v>40119</v>
      </c>
      <c r="B673">
        <v>2009</v>
      </c>
      <c r="C673">
        <v>11</v>
      </c>
      <c r="D673" t="s">
        <v>1614</v>
      </c>
      <c r="E673" t="s">
        <v>1613</v>
      </c>
      <c r="F673">
        <v>45</v>
      </c>
      <c r="G673" t="s">
        <v>1602</v>
      </c>
    </row>
    <row r="674" spans="1:7" x14ac:dyDescent="0.55000000000000004">
      <c r="A674" s="1">
        <v>40120</v>
      </c>
      <c r="B674">
        <v>2009</v>
      </c>
      <c r="C674">
        <v>11</v>
      </c>
      <c r="D674" t="s">
        <v>1614</v>
      </c>
      <c r="E674" t="s">
        <v>1613</v>
      </c>
      <c r="F674">
        <v>45</v>
      </c>
      <c r="G674" t="s">
        <v>1596</v>
      </c>
    </row>
    <row r="675" spans="1:7" x14ac:dyDescent="0.55000000000000004">
      <c r="A675" s="1">
        <v>40121</v>
      </c>
      <c r="B675">
        <v>2009</v>
      </c>
      <c r="C675">
        <v>11</v>
      </c>
      <c r="D675" t="s">
        <v>1614</v>
      </c>
      <c r="E675" t="s">
        <v>1613</v>
      </c>
      <c r="F675">
        <v>45</v>
      </c>
      <c r="G675" t="s">
        <v>1597</v>
      </c>
    </row>
    <row r="676" spans="1:7" x14ac:dyDescent="0.55000000000000004">
      <c r="A676" s="1">
        <v>40122</v>
      </c>
      <c r="B676">
        <v>2009</v>
      </c>
      <c r="C676">
        <v>11</v>
      </c>
      <c r="D676" t="s">
        <v>1614</v>
      </c>
      <c r="E676" t="s">
        <v>1613</v>
      </c>
      <c r="F676">
        <v>45</v>
      </c>
      <c r="G676" t="s">
        <v>1598</v>
      </c>
    </row>
    <row r="677" spans="1:7" x14ac:dyDescent="0.55000000000000004">
      <c r="A677" s="1">
        <v>40123</v>
      </c>
      <c r="B677">
        <v>2009</v>
      </c>
      <c r="C677">
        <v>11</v>
      </c>
      <c r="D677" t="s">
        <v>1614</v>
      </c>
      <c r="E677" t="s">
        <v>1613</v>
      </c>
      <c r="F677">
        <v>45</v>
      </c>
      <c r="G677" t="s">
        <v>1599</v>
      </c>
    </row>
    <row r="678" spans="1:7" x14ac:dyDescent="0.55000000000000004">
      <c r="A678" s="1">
        <v>40124</v>
      </c>
      <c r="B678">
        <v>2009</v>
      </c>
      <c r="C678">
        <v>11</v>
      </c>
      <c r="D678" t="s">
        <v>1614</v>
      </c>
      <c r="E678" t="s">
        <v>1613</v>
      </c>
      <c r="F678">
        <v>45</v>
      </c>
      <c r="G678" t="s">
        <v>1600</v>
      </c>
    </row>
    <row r="679" spans="1:7" x14ac:dyDescent="0.55000000000000004">
      <c r="A679" s="1">
        <v>40125</v>
      </c>
      <c r="B679">
        <v>2009</v>
      </c>
      <c r="C679">
        <v>11</v>
      </c>
      <c r="D679" t="s">
        <v>1614</v>
      </c>
      <c r="E679" t="s">
        <v>1613</v>
      </c>
      <c r="F679">
        <v>46</v>
      </c>
      <c r="G679" t="s">
        <v>1601</v>
      </c>
    </row>
    <row r="680" spans="1:7" x14ac:dyDescent="0.55000000000000004">
      <c r="A680" s="1">
        <v>40126</v>
      </c>
      <c r="B680">
        <v>2009</v>
      </c>
      <c r="C680">
        <v>11</v>
      </c>
      <c r="D680" t="s">
        <v>1614</v>
      </c>
      <c r="E680" t="s">
        <v>1613</v>
      </c>
      <c r="F680">
        <v>46</v>
      </c>
      <c r="G680" t="s">
        <v>1602</v>
      </c>
    </row>
    <row r="681" spans="1:7" x14ac:dyDescent="0.55000000000000004">
      <c r="A681" s="1">
        <v>40127</v>
      </c>
      <c r="B681">
        <v>2009</v>
      </c>
      <c r="C681">
        <v>11</v>
      </c>
      <c r="D681" t="s">
        <v>1614</v>
      </c>
      <c r="E681" t="s">
        <v>1613</v>
      </c>
      <c r="F681">
        <v>46</v>
      </c>
      <c r="G681" t="s">
        <v>1596</v>
      </c>
    </row>
    <row r="682" spans="1:7" x14ac:dyDescent="0.55000000000000004">
      <c r="A682" s="1">
        <v>40128</v>
      </c>
      <c r="B682">
        <v>2009</v>
      </c>
      <c r="C682">
        <v>11</v>
      </c>
      <c r="D682" t="s">
        <v>1614</v>
      </c>
      <c r="E682" t="s">
        <v>1613</v>
      </c>
      <c r="F682">
        <v>46</v>
      </c>
      <c r="G682" t="s">
        <v>1597</v>
      </c>
    </row>
    <row r="683" spans="1:7" x14ac:dyDescent="0.55000000000000004">
      <c r="A683" s="1">
        <v>40129</v>
      </c>
      <c r="B683">
        <v>2009</v>
      </c>
      <c r="C683">
        <v>11</v>
      </c>
      <c r="D683" t="s">
        <v>1614</v>
      </c>
      <c r="E683" t="s">
        <v>1613</v>
      </c>
      <c r="F683">
        <v>46</v>
      </c>
      <c r="G683" t="s">
        <v>1598</v>
      </c>
    </row>
    <row r="684" spans="1:7" x14ac:dyDescent="0.55000000000000004">
      <c r="A684" s="1">
        <v>40130</v>
      </c>
      <c r="B684">
        <v>2009</v>
      </c>
      <c r="C684">
        <v>11</v>
      </c>
      <c r="D684" t="s">
        <v>1614</v>
      </c>
      <c r="E684" t="s">
        <v>1613</v>
      </c>
      <c r="F684">
        <v>46</v>
      </c>
      <c r="G684" t="s">
        <v>1599</v>
      </c>
    </row>
    <row r="685" spans="1:7" x14ac:dyDescent="0.55000000000000004">
      <c r="A685" s="1">
        <v>40131</v>
      </c>
      <c r="B685">
        <v>2009</v>
      </c>
      <c r="C685">
        <v>11</v>
      </c>
      <c r="D685" t="s">
        <v>1614</v>
      </c>
      <c r="E685" t="s">
        <v>1613</v>
      </c>
      <c r="F685">
        <v>46</v>
      </c>
      <c r="G685" t="s">
        <v>1600</v>
      </c>
    </row>
    <row r="686" spans="1:7" x14ac:dyDescent="0.55000000000000004">
      <c r="A686" s="1">
        <v>40132</v>
      </c>
      <c r="B686">
        <v>2009</v>
      </c>
      <c r="C686">
        <v>11</v>
      </c>
      <c r="D686" t="s">
        <v>1614</v>
      </c>
      <c r="E686" t="s">
        <v>1613</v>
      </c>
      <c r="F686">
        <v>47</v>
      </c>
      <c r="G686" t="s">
        <v>1601</v>
      </c>
    </row>
    <row r="687" spans="1:7" x14ac:dyDescent="0.55000000000000004">
      <c r="A687" s="1">
        <v>40133</v>
      </c>
      <c r="B687">
        <v>2009</v>
      </c>
      <c r="C687">
        <v>11</v>
      </c>
      <c r="D687" t="s">
        <v>1614</v>
      </c>
      <c r="E687" t="s">
        <v>1613</v>
      </c>
      <c r="F687">
        <v>47</v>
      </c>
      <c r="G687" t="s">
        <v>1602</v>
      </c>
    </row>
    <row r="688" spans="1:7" x14ac:dyDescent="0.55000000000000004">
      <c r="A688" s="1">
        <v>40134</v>
      </c>
      <c r="B688">
        <v>2009</v>
      </c>
      <c r="C688">
        <v>11</v>
      </c>
      <c r="D688" t="s">
        <v>1614</v>
      </c>
      <c r="E688" t="s">
        <v>1613</v>
      </c>
      <c r="F688">
        <v>47</v>
      </c>
      <c r="G688" t="s">
        <v>1596</v>
      </c>
    </row>
    <row r="689" spans="1:7" x14ac:dyDescent="0.55000000000000004">
      <c r="A689" s="1">
        <v>40135</v>
      </c>
      <c r="B689">
        <v>2009</v>
      </c>
      <c r="C689">
        <v>11</v>
      </c>
      <c r="D689" t="s">
        <v>1614</v>
      </c>
      <c r="E689" t="s">
        <v>1613</v>
      </c>
      <c r="F689">
        <v>47</v>
      </c>
      <c r="G689" t="s">
        <v>1597</v>
      </c>
    </row>
    <row r="690" spans="1:7" x14ac:dyDescent="0.55000000000000004">
      <c r="A690" s="1">
        <v>40136</v>
      </c>
      <c r="B690">
        <v>2009</v>
      </c>
      <c r="C690">
        <v>11</v>
      </c>
      <c r="D690" t="s">
        <v>1614</v>
      </c>
      <c r="E690" t="s">
        <v>1613</v>
      </c>
      <c r="F690">
        <v>47</v>
      </c>
      <c r="G690" t="s">
        <v>1598</v>
      </c>
    </row>
    <row r="691" spans="1:7" x14ac:dyDescent="0.55000000000000004">
      <c r="A691" s="1">
        <v>40137</v>
      </c>
      <c r="B691">
        <v>2009</v>
      </c>
      <c r="C691">
        <v>11</v>
      </c>
      <c r="D691" t="s">
        <v>1614</v>
      </c>
      <c r="E691" t="s">
        <v>1613</v>
      </c>
      <c r="F691">
        <v>47</v>
      </c>
      <c r="G691" t="s">
        <v>1599</v>
      </c>
    </row>
    <row r="692" spans="1:7" x14ac:dyDescent="0.55000000000000004">
      <c r="A692" s="1">
        <v>40138</v>
      </c>
      <c r="B692">
        <v>2009</v>
      </c>
      <c r="C692">
        <v>11</v>
      </c>
      <c r="D692" t="s">
        <v>1614</v>
      </c>
      <c r="E692" t="s">
        <v>1613</v>
      </c>
      <c r="F692">
        <v>47</v>
      </c>
      <c r="G692" t="s">
        <v>1600</v>
      </c>
    </row>
    <row r="693" spans="1:7" x14ac:dyDescent="0.55000000000000004">
      <c r="A693" s="1">
        <v>40139</v>
      </c>
      <c r="B693">
        <v>2009</v>
      </c>
      <c r="C693">
        <v>11</v>
      </c>
      <c r="D693" t="s">
        <v>1614</v>
      </c>
      <c r="E693" t="s">
        <v>1613</v>
      </c>
      <c r="F693">
        <v>48</v>
      </c>
      <c r="G693" t="s">
        <v>1601</v>
      </c>
    </row>
    <row r="694" spans="1:7" x14ac:dyDescent="0.55000000000000004">
      <c r="A694" s="1">
        <v>40140</v>
      </c>
      <c r="B694">
        <v>2009</v>
      </c>
      <c r="C694">
        <v>11</v>
      </c>
      <c r="D694" t="s">
        <v>1614</v>
      </c>
      <c r="E694" t="s">
        <v>1613</v>
      </c>
      <c r="F694">
        <v>48</v>
      </c>
      <c r="G694" t="s">
        <v>1602</v>
      </c>
    </row>
    <row r="695" spans="1:7" x14ac:dyDescent="0.55000000000000004">
      <c r="A695" s="1">
        <v>40141</v>
      </c>
      <c r="B695">
        <v>2009</v>
      </c>
      <c r="C695">
        <v>11</v>
      </c>
      <c r="D695" t="s">
        <v>1614</v>
      </c>
      <c r="E695" t="s">
        <v>1613</v>
      </c>
      <c r="F695">
        <v>48</v>
      </c>
      <c r="G695" t="s">
        <v>1596</v>
      </c>
    </row>
    <row r="696" spans="1:7" x14ac:dyDescent="0.55000000000000004">
      <c r="A696" s="1">
        <v>40142</v>
      </c>
      <c r="B696">
        <v>2009</v>
      </c>
      <c r="C696">
        <v>11</v>
      </c>
      <c r="D696" t="s">
        <v>1614</v>
      </c>
      <c r="E696" t="s">
        <v>1613</v>
      </c>
      <c r="F696">
        <v>48</v>
      </c>
      <c r="G696" t="s">
        <v>1597</v>
      </c>
    </row>
    <row r="697" spans="1:7" x14ac:dyDescent="0.55000000000000004">
      <c r="A697" s="1">
        <v>40143</v>
      </c>
      <c r="B697">
        <v>2009</v>
      </c>
      <c r="C697">
        <v>11</v>
      </c>
      <c r="D697" t="s">
        <v>1614</v>
      </c>
      <c r="E697" t="s">
        <v>1613</v>
      </c>
      <c r="F697">
        <v>48</v>
      </c>
      <c r="G697" t="s">
        <v>1598</v>
      </c>
    </row>
    <row r="698" spans="1:7" x14ac:dyDescent="0.55000000000000004">
      <c r="A698" s="1">
        <v>40144</v>
      </c>
      <c r="B698">
        <v>2009</v>
      </c>
      <c r="C698">
        <v>11</v>
      </c>
      <c r="D698" t="s">
        <v>1614</v>
      </c>
      <c r="E698" t="s">
        <v>1613</v>
      </c>
      <c r="F698">
        <v>48</v>
      </c>
      <c r="G698" t="s">
        <v>1599</v>
      </c>
    </row>
    <row r="699" spans="1:7" x14ac:dyDescent="0.55000000000000004">
      <c r="A699" s="1">
        <v>40145</v>
      </c>
      <c r="B699">
        <v>2009</v>
      </c>
      <c r="C699">
        <v>11</v>
      </c>
      <c r="D699" t="s">
        <v>1614</v>
      </c>
      <c r="E699" t="s">
        <v>1613</v>
      </c>
      <c r="F699">
        <v>48</v>
      </c>
      <c r="G699" t="s">
        <v>1600</v>
      </c>
    </row>
    <row r="700" spans="1:7" x14ac:dyDescent="0.55000000000000004">
      <c r="A700" s="1">
        <v>40146</v>
      </c>
      <c r="B700">
        <v>2009</v>
      </c>
      <c r="C700">
        <v>11</v>
      </c>
      <c r="D700" t="s">
        <v>1614</v>
      </c>
      <c r="E700" t="s">
        <v>1613</v>
      </c>
      <c r="F700">
        <v>49</v>
      </c>
      <c r="G700" t="s">
        <v>1601</v>
      </c>
    </row>
    <row r="701" spans="1:7" x14ac:dyDescent="0.55000000000000004">
      <c r="A701" s="1">
        <v>40147</v>
      </c>
      <c r="B701">
        <v>2009</v>
      </c>
      <c r="C701">
        <v>11</v>
      </c>
      <c r="D701" t="s">
        <v>1614</v>
      </c>
      <c r="E701" t="s">
        <v>1613</v>
      </c>
      <c r="F701">
        <v>49</v>
      </c>
      <c r="G701" t="s">
        <v>1602</v>
      </c>
    </row>
    <row r="702" spans="1:7" x14ac:dyDescent="0.55000000000000004">
      <c r="A702" s="1">
        <v>40148</v>
      </c>
      <c r="B702">
        <v>2009</v>
      </c>
      <c r="C702">
        <v>12</v>
      </c>
      <c r="D702" t="s">
        <v>1615</v>
      </c>
      <c r="E702" t="s">
        <v>1613</v>
      </c>
      <c r="F702">
        <v>49</v>
      </c>
      <c r="G702" t="s">
        <v>1596</v>
      </c>
    </row>
    <row r="703" spans="1:7" x14ac:dyDescent="0.55000000000000004">
      <c r="A703" s="1">
        <v>40149</v>
      </c>
      <c r="B703">
        <v>2009</v>
      </c>
      <c r="C703">
        <v>12</v>
      </c>
      <c r="D703" t="s">
        <v>1615</v>
      </c>
      <c r="E703" t="s">
        <v>1613</v>
      </c>
      <c r="F703">
        <v>49</v>
      </c>
      <c r="G703" t="s">
        <v>1597</v>
      </c>
    </row>
    <row r="704" spans="1:7" x14ac:dyDescent="0.55000000000000004">
      <c r="A704" s="1">
        <v>40150</v>
      </c>
      <c r="B704">
        <v>2009</v>
      </c>
      <c r="C704">
        <v>12</v>
      </c>
      <c r="D704" t="s">
        <v>1615</v>
      </c>
      <c r="E704" t="s">
        <v>1613</v>
      </c>
      <c r="F704">
        <v>49</v>
      </c>
      <c r="G704" t="s">
        <v>1598</v>
      </c>
    </row>
    <row r="705" spans="1:7" x14ac:dyDescent="0.55000000000000004">
      <c r="A705" s="1">
        <v>40151</v>
      </c>
      <c r="B705">
        <v>2009</v>
      </c>
      <c r="C705">
        <v>12</v>
      </c>
      <c r="D705" t="s">
        <v>1615</v>
      </c>
      <c r="E705" t="s">
        <v>1613</v>
      </c>
      <c r="F705">
        <v>49</v>
      </c>
      <c r="G705" t="s">
        <v>1599</v>
      </c>
    </row>
    <row r="706" spans="1:7" x14ac:dyDescent="0.55000000000000004">
      <c r="A706" s="1">
        <v>40152</v>
      </c>
      <c r="B706">
        <v>2009</v>
      </c>
      <c r="C706">
        <v>12</v>
      </c>
      <c r="D706" t="s">
        <v>1615</v>
      </c>
      <c r="E706" t="s">
        <v>1613</v>
      </c>
      <c r="F706">
        <v>49</v>
      </c>
      <c r="G706" t="s">
        <v>1600</v>
      </c>
    </row>
    <row r="707" spans="1:7" x14ac:dyDescent="0.55000000000000004">
      <c r="A707" s="1">
        <v>40153</v>
      </c>
      <c r="B707">
        <v>2009</v>
      </c>
      <c r="C707">
        <v>12</v>
      </c>
      <c r="D707" t="s">
        <v>1615</v>
      </c>
      <c r="E707" t="s">
        <v>1613</v>
      </c>
      <c r="F707">
        <v>50</v>
      </c>
      <c r="G707" t="s">
        <v>1601</v>
      </c>
    </row>
    <row r="708" spans="1:7" x14ac:dyDescent="0.55000000000000004">
      <c r="A708" s="1">
        <v>40154</v>
      </c>
      <c r="B708">
        <v>2009</v>
      </c>
      <c r="C708">
        <v>12</v>
      </c>
      <c r="D708" t="s">
        <v>1615</v>
      </c>
      <c r="E708" t="s">
        <v>1613</v>
      </c>
      <c r="F708">
        <v>50</v>
      </c>
      <c r="G708" t="s">
        <v>1602</v>
      </c>
    </row>
    <row r="709" spans="1:7" x14ac:dyDescent="0.55000000000000004">
      <c r="A709" s="1">
        <v>40155</v>
      </c>
      <c r="B709">
        <v>2009</v>
      </c>
      <c r="C709">
        <v>12</v>
      </c>
      <c r="D709" t="s">
        <v>1615</v>
      </c>
      <c r="E709" t="s">
        <v>1613</v>
      </c>
      <c r="F709">
        <v>50</v>
      </c>
      <c r="G709" t="s">
        <v>1596</v>
      </c>
    </row>
    <row r="710" spans="1:7" x14ac:dyDescent="0.55000000000000004">
      <c r="A710" s="1">
        <v>40156</v>
      </c>
      <c r="B710">
        <v>2009</v>
      </c>
      <c r="C710">
        <v>12</v>
      </c>
      <c r="D710" t="s">
        <v>1615</v>
      </c>
      <c r="E710" t="s">
        <v>1613</v>
      </c>
      <c r="F710">
        <v>50</v>
      </c>
      <c r="G710" t="s">
        <v>1597</v>
      </c>
    </row>
    <row r="711" spans="1:7" x14ac:dyDescent="0.55000000000000004">
      <c r="A711" s="1">
        <v>40157</v>
      </c>
      <c r="B711">
        <v>2009</v>
      </c>
      <c r="C711">
        <v>12</v>
      </c>
      <c r="D711" t="s">
        <v>1615</v>
      </c>
      <c r="E711" t="s">
        <v>1613</v>
      </c>
      <c r="F711">
        <v>50</v>
      </c>
      <c r="G711" t="s">
        <v>1598</v>
      </c>
    </row>
    <row r="712" spans="1:7" x14ac:dyDescent="0.55000000000000004">
      <c r="A712" s="1">
        <v>40158</v>
      </c>
      <c r="B712">
        <v>2009</v>
      </c>
      <c r="C712">
        <v>12</v>
      </c>
      <c r="D712" t="s">
        <v>1615</v>
      </c>
      <c r="E712" t="s">
        <v>1613</v>
      </c>
      <c r="F712">
        <v>50</v>
      </c>
      <c r="G712" t="s">
        <v>1599</v>
      </c>
    </row>
    <row r="713" spans="1:7" x14ac:dyDescent="0.55000000000000004">
      <c r="A713" s="1">
        <v>40159</v>
      </c>
      <c r="B713">
        <v>2009</v>
      </c>
      <c r="C713">
        <v>12</v>
      </c>
      <c r="D713" t="s">
        <v>1615</v>
      </c>
      <c r="E713" t="s">
        <v>1613</v>
      </c>
      <c r="F713">
        <v>50</v>
      </c>
      <c r="G713" t="s">
        <v>1600</v>
      </c>
    </row>
    <row r="714" spans="1:7" x14ac:dyDescent="0.55000000000000004">
      <c r="A714" s="1">
        <v>40160</v>
      </c>
      <c r="B714">
        <v>2009</v>
      </c>
      <c r="C714">
        <v>12</v>
      </c>
      <c r="D714" t="s">
        <v>1615</v>
      </c>
      <c r="E714" t="s">
        <v>1613</v>
      </c>
      <c r="F714">
        <v>51</v>
      </c>
      <c r="G714" t="s">
        <v>1601</v>
      </c>
    </row>
    <row r="715" spans="1:7" x14ac:dyDescent="0.55000000000000004">
      <c r="A715" s="1">
        <v>40161</v>
      </c>
      <c r="B715">
        <v>2009</v>
      </c>
      <c r="C715">
        <v>12</v>
      </c>
      <c r="D715" t="s">
        <v>1615</v>
      </c>
      <c r="E715" t="s">
        <v>1613</v>
      </c>
      <c r="F715">
        <v>51</v>
      </c>
      <c r="G715" t="s">
        <v>1602</v>
      </c>
    </row>
    <row r="716" spans="1:7" x14ac:dyDescent="0.55000000000000004">
      <c r="A716" s="1">
        <v>40162</v>
      </c>
      <c r="B716">
        <v>2009</v>
      </c>
      <c r="C716">
        <v>12</v>
      </c>
      <c r="D716" t="s">
        <v>1615</v>
      </c>
      <c r="E716" t="s">
        <v>1613</v>
      </c>
      <c r="F716">
        <v>51</v>
      </c>
      <c r="G716" t="s">
        <v>1596</v>
      </c>
    </row>
    <row r="717" spans="1:7" x14ac:dyDescent="0.55000000000000004">
      <c r="A717" s="1">
        <v>40163</v>
      </c>
      <c r="B717">
        <v>2009</v>
      </c>
      <c r="C717">
        <v>12</v>
      </c>
      <c r="D717" t="s">
        <v>1615</v>
      </c>
      <c r="E717" t="s">
        <v>1613</v>
      </c>
      <c r="F717">
        <v>51</v>
      </c>
      <c r="G717" t="s">
        <v>1597</v>
      </c>
    </row>
    <row r="718" spans="1:7" x14ac:dyDescent="0.55000000000000004">
      <c r="A718" s="1">
        <v>40164</v>
      </c>
      <c r="B718">
        <v>2009</v>
      </c>
      <c r="C718">
        <v>12</v>
      </c>
      <c r="D718" t="s">
        <v>1615</v>
      </c>
      <c r="E718" t="s">
        <v>1613</v>
      </c>
      <c r="F718">
        <v>51</v>
      </c>
      <c r="G718" t="s">
        <v>1598</v>
      </c>
    </row>
    <row r="719" spans="1:7" x14ac:dyDescent="0.55000000000000004">
      <c r="A719" s="1">
        <v>40165</v>
      </c>
      <c r="B719">
        <v>2009</v>
      </c>
      <c r="C719">
        <v>12</v>
      </c>
      <c r="D719" t="s">
        <v>1615</v>
      </c>
      <c r="E719" t="s">
        <v>1613</v>
      </c>
      <c r="F719">
        <v>51</v>
      </c>
      <c r="G719" t="s">
        <v>1599</v>
      </c>
    </row>
    <row r="720" spans="1:7" x14ac:dyDescent="0.55000000000000004">
      <c r="A720" s="1">
        <v>40166</v>
      </c>
      <c r="B720">
        <v>2009</v>
      </c>
      <c r="C720">
        <v>12</v>
      </c>
      <c r="D720" t="s">
        <v>1615</v>
      </c>
      <c r="E720" t="s">
        <v>1613</v>
      </c>
      <c r="F720">
        <v>51</v>
      </c>
      <c r="G720" t="s">
        <v>1600</v>
      </c>
    </row>
    <row r="721" spans="1:7" x14ac:dyDescent="0.55000000000000004">
      <c r="A721" s="1">
        <v>40167</v>
      </c>
      <c r="B721">
        <v>2009</v>
      </c>
      <c r="C721">
        <v>12</v>
      </c>
      <c r="D721" t="s">
        <v>1615</v>
      </c>
      <c r="E721" t="s">
        <v>1613</v>
      </c>
      <c r="F721">
        <v>52</v>
      </c>
      <c r="G721" t="s">
        <v>1601</v>
      </c>
    </row>
    <row r="722" spans="1:7" x14ac:dyDescent="0.55000000000000004">
      <c r="A722" s="1">
        <v>40168</v>
      </c>
      <c r="B722">
        <v>2009</v>
      </c>
      <c r="C722">
        <v>12</v>
      </c>
      <c r="D722" t="s">
        <v>1615</v>
      </c>
      <c r="E722" t="s">
        <v>1613</v>
      </c>
      <c r="F722">
        <v>52</v>
      </c>
      <c r="G722" t="s">
        <v>1602</v>
      </c>
    </row>
    <row r="723" spans="1:7" x14ac:dyDescent="0.55000000000000004">
      <c r="A723" s="1">
        <v>40169</v>
      </c>
      <c r="B723">
        <v>2009</v>
      </c>
      <c r="C723">
        <v>12</v>
      </c>
      <c r="D723" t="s">
        <v>1615</v>
      </c>
      <c r="E723" t="s">
        <v>1613</v>
      </c>
      <c r="F723">
        <v>52</v>
      </c>
      <c r="G723" t="s">
        <v>1596</v>
      </c>
    </row>
    <row r="724" spans="1:7" x14ac:dyDescent="0.55000000000000004">
      <c r="A724" s="1">
        <v>40170</v>
      </c>
      <c r="B724">
        <v>2009</v>
      </c>
      <c r="C724">
        <v>12</v>
      </c>
      <c r="D724" t="s">
        <v>1615</v>
      </c>
      <c r="E724" t="s">
        <v>1613</v>
      </c>
      <c r="F724">
        <v>52</v>
      </c>
      <c r="G724" t="s">
        <v>1597</v>
      </c>
    </row>
    <row r="725" spans="1:7" x14ac:dyDescent="0.55000000000000004">
      <c r="A725" s="1">
        <v>40171</v>
      </c>
      <c r="B725">
        <v>2009</v>
      </c>
      <c r="C725">
        <v>12</v>
      </c>
      <c r="D725" t="s">
        <v>1615</v>
      </c>
      <c r="E725" t="s">
        <v>1613</v>
      </c>
      <c r="F725">
        <v>52</v>
      </c>
      <c r="G725" t="s">
        <v>1598</v>
      </c>
    </row>
    <row r="726" spans="1:7" x14ac:dyDescent="0.55000000000000004">
      <c r="A726" s="1">
        <v>40172</v>
      </c>
      <c r="B726">
        <v>2009</v>
      </c>
      <c r="C726">
        <v>12</v>
      </c>
      <c r="D726" t="s">
        <v>1615</v>
      </c>
      <c r="E726" t="s">
        <v>1613</v>
      </c>
      <c r="F726">
        <v>52</v>
      </c>
      <c r="G726" t="s">
        <v>1599</v>
      </c>
    </row>
    <row r="727" spans="1:7" x14ac:dyDescent="0.55000000000000004">
      <c r="A727" s="1">
        <v>40173</v>
      </c>
      <c r="B727">
        <v>2009</v>
      </c>
      <c r="C727">
        <v>12</v>
      </c>
      <c r="D727" t="s">
        <v>1615</v>
      </c>
      <c r="E727" t="s">
        <v>1613</v>
      </c>
      <c r="F727">
        <v>52</v>
      </c>
      <c r="G727" t="s">
        <v>1600</v>
      </c>
    </row>
    <row r="728" spans="1:7" x14ac:dyDescent="0.55000000000000004">
      <c r="A728" s="1">
        <v>40174</v>
      </c>
      <c r="B728">
        <v>2009</v>
      </c>
      <c r="C728">
        <v>12</v>
      </c>
      <c r="D728" t="s">
        <v>1615</v>
      </c>
      <c r="E728" t="s">
        <v>1613</v>
      </c>
      <c r="F728">
        <v>53</v>
      </c>
      <c r="G728" t="s">
        <v>1601</v>
      </c>
    </row>
    <row r="729" spans="1:7" x14ac:dyDescent="0.55000000000000004">
      <c r="A729" s="1">
        <v>40175</v>
      </c>
      <c r="B729">
        <v>2009</v>
      </c>
      <c r="C729">
        <v>12</v>
      </c>
      <c r="D729" t="s">
        <v>1615</v>
      </c>
      <c r="E729" t="s">
        <v>1613</v>
      </c>
      <c r="F729">
        <v>53</v>
      </c>
      <c r="G729" t="s">
        <v>1602</v>
      </c>
    </row>
    <row r="730" spans="1:7" x14ac:dyDescent="0.55000000000000004">
      <c r="A730" s="1">
        <v>40176</v>
      </c>
      <c r="B730">
        <v>2009</v>
      </c>
      <c r="C730">
        <v>12</v>
      </c>
      <c r="D730" t="s">
        <v>1615</v>
      </c>
      <c r="E730" t="s">
        <v>1613</v>
      </c>
      <c r="F730">
        <v>53</v>
      </c>
      <c r="G730" t="s">
        <v>1596</v>
      </c>
    </row>
    <row r="731" spans="1:7" x14ac:dyDescent="0.55000000000000004">
      <c r="A731" s="1">
        <v>40177</v>
      </c>
      <c r="B731">
        <v>2009</v>
      </c>
      <c r="C731">
        <v>12</v>
      </c>
      <c r="D731" t="s">
        <v>1615</v>
      </c>
      <c r="E731" t="s">
        <v>1613</v>
      </c>
      <c r="F731">
        <v>53</v>
      </c>
      <c r="G731" t="s">
        <v>1597</v>
      </c>
    </row>
    <row r="732" spans="1:7" x14ac:dyDescent="0.55000000000000004">
      <c r="A732" s="1">
        <v>40178</v>
      </c>
      <c r="B732">
        <v>2009</v>
      </c>
      <c r="C732">
        <v>12</v>
      </c>
      <c r="D732" t="s">
        <v>1615</v>
      </c>
      <c r="E732" t="s">
        <v>1613</v>
      </c>
      <c r="F732">
        <v>53</v>
      </c>
      <c r="G732" t="s">
        <v>1598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43D88-7646-4CED-8E46-0B05B33DA074}">
  <sheetPr>
    <tabColor rgb="FFFF0000"/>
  </sheetPr>
  <dimension ref="B1:AI15"/>
  <sheetViews>
    <sheetView topLeftCell="V1" workbookViewId="0">
      <selection activeCell="AH20" sqref="AH20"/>
    </sheetView>
  </sheetViews>
  <sheetFormatPr defaultRowHeight="14.4" x14ac:dyDescent="0.55000000000000004"/>
  <cols>
    <col min="2" max="2" width="13" bestFit="1" customWidth="1"/>
    <col min="3" max="3" width="11.68359375" bestFit="1" customWidth="1"/>
    <col min="4" max="4" width="15.62890625" bestFit="1" customWidth="1"/>
    <col min="5" max="5" width="10.47265625" bestFit="1" customWidth="1"/>
    <col min="6" max="6" width="11.68359375" bestFit="1" customWidth="1"/>
    <col min="7" max="7" width="15.62890625" bestFit="1" customWidth="1"/>
    <col min="8" max="8" width="18.3671875" bestFit="1" customWidth="1"/>
    <col min="9" max="9" width="14.3125" bestFit="1" customWidth="1"/>
    <col min="10" max="10" width="15.62890625" bestFit="1" customWidth="1"/>
    <col min="11" max="11" width="16.05078125" bestFit="1" customWidth="1"/>
    <col min="12" max="12" width="11.68359375" bestFit="1" customWidth="1"/>
    <col min="13" max="13" width="15.62890625" bestFit="1" customWidth="1"/>
    <col min="14" max="14" width="9.3125" bestFit="1" customWidth="1"/>
    <col min="15" max="15" width="14.3125" bestFit="1" customWidth="1"/>
    <col min="16" max="16" width="13.9453125" bestFit="1" customWidth="1"/>
    <col min="17" max="17" width="12.3671875" bestFit="1" customWidth="1"/>
    <col min="18" max="19" width="16.3125" bestFit="1" customWidth="1"/>
    <col min="20" max="20" width="19.83984375" bestFit="1" customWidth="1"/>
    <col min="21" max="21" width="11.68359375" bestFit="1" customWidth="1"/>
    <col min="22" max="22" width="14.3125" bestFit="1" customWidth="1"/>
    <col min="23" max="23" width="19.83984375" bestFit="1" customWidth="1"/>
    <col min="24" max="24" width="14.3125" bestFit="1" customWidth="1"/>
    <col min="25" max="25" width="15.62890625" bestFit="1" customWidth="1"/>
    <col min="26" max="26" width="17.62890625" bestFit="1" customWidth="1"/>
    <col min="27" max="27" width="11.68359375" bestFit="1" customWidth="1"/>
    <col min="28" max="28" width="14.3125" bestFit="1" customWidth="1"/>
    <col min="29" max="29" width="14.20703125" customWidth="1"/>
    <col min="30" max="30" width="11.1015625" bestFit="1" customWidth="1"/>
    <col min="31" max="31" width="9.3125" bestFit="1" customWidth="1"/>
    <col min="32" max="32" width="15.62890625" bestFit="1" customWidth="1"/>
    <col min="33" max="33" width="10.20703125" bestFit="1" customWidth="1"/>
    <col min="34" max="34" width="11.68359375" bestFit="1" customWidth="1"/>
    <col min="35" max="35" width="14.3125" bestFit="1" customWidth="1"/>
    <col min="36" max="254" width="15.62890625" bestFit="1" customWidth="1"/>
    <col min="255" max="255" width="10.20703125" bestFit="1" customWidth="1"/>
  </cols>
  <sheetData>
    <row r="1" spans="2:35" ht="15.6" x14ac:dyDescent="0.6">
      <c r="B1" s="8" t="s">
        <v>1633</v>
      </c>
      <c r="C1" s="8"/>
      <c r="D1" s="8"/>
      <c r="E1" s="8"/>
      <c r="F1" s="8"/>
      <c r="G1" s="8"/>
      <c r="H1" s="8"/>
      <c r="I1" s="8"/>
      <c r="J1" s="8"/>
      <c r="K1" s="8"/>
      <c r="L1" s="8"/>
      <c r="N1" s="8" t="s">
        <v>1647</v>
      </c>
      <c r="O1" s="8"/>
      <c r="P1" s="8"/>
      <c r="Q1" s="8"/>
      <c r="R1" s="8"/>
      <c r="T1" s="8" t="s">
        <v>1646</v>
      </c>
      <c r="U1" s="8"/>
      <c r="V1" s="8"/>
      <c r="W1" s="8"/>
      <c r="X1" s="8"/>
      <c r="Y1" s="8"/>
      <c r="Z1" s="8"/>
      <c r="AA1" s="8"/>
      <c r="AB1" s="8"/>
      <c r="AC1" s="8"/>
      <c r="AD1" s="8"/>
      <c r="AE1" s="8"/>
      <c r="AF1" s="8"/>
      <c r="AG1" s="8"/>
      <c r="AH1" s="8"/>
      <c r="AI1" s="8"/>
    </row>
    <row r="3" spans="2:35" x14ac:dyDescent="0.55000000000000004">
      <c r="B3" s="11" t="s">
        <v>1630</v>
      </c>
      <c r="C3" s="11"/>
      <c r="E3" s="11" t="s">
        <v>1625</v>
      </c>
      <c r="F3" s="11"/>
      <c r="H3" s="11" t="s">
        <v>1629</v>
      </c>
      <c r="I3" s="11"/>
      <c r="K3" s="11" t="s">
        <v>1632</v>
      </c>
      <c r="L3" s="11"/>
      <c r="N3" s="10" t="s">
        <v>1634</v>
      </c>
      <c r="O3" s="10"/>
      <c r="P3" s="10"/>
      <c r="Q3" s="10"/>
      <c r="R3" s="10"/>
      <c r="T3" s="9" t="s">
        <v>1637</v>
      </c>
      <c r="U3" s="9"/>
      <c r="W3" s="9" t="s">
        <v>1638</v>
      </c>
      <c r="X3" s="9"/>
      <c r="Z3" s="4" t="s">
        <v>1642</v>
      </c>
      <c r="AA3" s="4"/>
      <c r="AB3" s="4"/>
      <c r="AD3" s="9" t="s">
        <v>1644</v>
      </c>
      <c r="AE3" s="9"/>
      <c r="AG3" s="9" t="s">
        <v>1645</v>
      </c>
      <c r="AH3" s="9"/>
      <c r="AI3" s="4"/>
    </row>
    <row r="4" spans="2:35" x14ac:dyDescent="0.55000000000000004">
      <c r="B4" s="2" t="s">
        <v>10</v>
      </c>
      <c r="C4" t="s">
        <v>1624</v>
      </c>
      <c r="E4" s="2" t="s">
        <v>1626</v>
      </c>
      <c r="F4" t="s">
        <v>1624</v>
      </c>
      <c r="H4" s="2" t="s">
        <v>8</v>
      </c>
      <c r="I4" t="s">
        <v>1628</v>
      </c>
      <c r="K4" s="2" t="s">
        <v>1631</v>
      </c>
      <c r="L4" t="s">
        <v>1624</v>
      </c>
      <c r="N4" t="s">
        <v>1624</v>
      </c>
      <c r="O4" t="s">
        <v>1628</v>
      </c>
      <c r="P4" t="s">
        <v>1627</v>
      </c>
      <c r="Q4" t="s">
        <v>1635</v>
      </c>
      <c r="R4" t="s">
        <v>1636</v>
      </c>
      <c r="T4" s="2" t="s">
        <v>1175</v>
      </c>
      <c r="U4" t="s">
        <v>1624</v>
      </c>
      <c r="W4" s="2" t="s">
        <v>1175</v>
      </c>
      <c r="X4" t="s">
        <v>1628</v>
      </c>
      <c r="Z4" s="2" t="s">
        <v>1643</v>
      </c>
      <c r="AA4" t="s">
        <v>1624</v>
      </c>
      <c r="AB4" t="s">
        <v>1628</v>
      </c>
      <c r="AD4" s="2" t="s">
        <v>1176</v>
      </c>
      <c r="AE4" t="s">
        <v>1624</v>
      </c>
      <c r="AG4" s="2" t="s">
        <v>1591</v>
      </c>
      <c r="AH4" t="s">
        <v>1624</v>
      </c>
      <c r="AI4" t="s">
        <v>1628</v>
      </c>
    </row>
    <row r="5" spans="2:35" x14ac:dyDescent="0.55000000000000004">
      <c r="B5" s="3" t="s">
        <v>1121</v>
      </c>
      <c r="C5">
        <v>153749.84400000001</v>
      </c>
      <c r="E5" s="3" t="s">
        <v>894</v>
      </c>
      <c r="F5">
        <v>254562.97760000001</v>
      </c>
      <c r="H5" s="3" t="s">
        <v>47</v>
      </c>
      <c r="I5">
        <v>286</v>
      </c>
      <c r="K5" s="3" t="s">
        <v>1123</v>
      </c>
      <c r="L5">
        <v>425979.10879999999</v>
      </c>
      <c r="N5" s="6">
        <v>708690.15330000001</v>
      </c>
      <c r="O5">
        <v>2087</v>
      </c>
      <c r="P5">
        <v>32</v>
      </c>
      <c r="Q5">
        <v>142</v>
      </c>
      <c r="R5" s="6">
        <v>22146.567290625</v>
      </c>
      <c r="T5" s="3" t="s">
        <v>1559</v>
      </c>
      <c r="U5">
        <v>37191.491999999998</v>
      </c>
      <c r="W5" s="3" t="s">
        <v>1438</v>
      </c>
      <c r="X5">
        <v>26</v>
      </c>
      <c r="Z5" s="3" t="s">
        <v>1639</v>
      </c>
      <c r="AA5">
        <v>553422.45550000004</v>
      </c>
      <c r="AB5">
        <v>508</v>
      </c>
      <c r="AD5" s="3" t="s">
        <v>1187</v>
      </c>
      <c r="AE5" s="5">
        <v>0.29248750901193027</v>
      </c>
      <c r="AG5" s="3">
        <v>2008</v>
      </c>
      <c r="AH5">
        <v>708690.15330000001</v>
      </c>
      <c r="AI5">
        <v>2087</v>
      </c>
    </row>
    <row r="6" spans="2:35" x14ac:dyDescent="0.55000000000000004">
      <c r="B6" s="3" t="s">
        <v>1140</v>
      </c>
      <c r="C6">
        <v>89869.276400000002</v>
      </c>
      <c r="E6" s="3" t="s">
        <v>968</v>
      </c>
      <c r="F6">
        <v>10585.05</v>
      </c>
      <c r="H6" s="3" t="s">
        <v>189</v>
      </c>
      <c r="I6">
        <v>271</v>
      </c>
      <c r="K6" s="3" t="s">
        <v>895</v>
      </c>
      <c r="L6">
        <v>282711.04450000002</v>
      </c>
      <c r="T6" s="3" t="s">
        <v>1439</v>
      </c>
      <c r="U6">
        <v>37178.838000000003</v>
      </c>
      <c r="W6" s="3" t="s">
        <v>1439</v>
      </c>
      <c r="X6">
        <v>27</v>
      </c>
      <c r="Z6" s="3" t="s">
        <v>1640</v>
      </c>
      <c r="AA6">
        <v>55329.1227</v>
      </c>
      <c r="AB6">
        <v>1285</v>
      </c>
      <c r="AD6" s="3" t="s">
        <v>1193</v>
      </c>
      <c r="AE6" s="5">
        <v>0.21901075565571854</v>
      </c>
      <c r="AG6" s="3" t="s">
        <v>1623</v>
      </c>
      <c r="AH6">
        <v>708690.15330000001</v>
      </c>
      <c r="AI6">
        <v>2087</v>
      </c>
    </row>
    <row r="7" spans="2:35" x14ac:dyDescent="0.55000000000000004">
      <c r="B7" s="3" t="s">
        <v>939</v>
      </c>
      <c r="C7">
        <v>65683.368100000007</v>
      </c>
      <c r="E7" s="3" t="s">
        <v>1122</v>
      </c>
      <c r="F7">
        <v>425979.10879999999</v>
      </c>
      <c r="H7" s="3" t="s">
        <v>585</v>
      </c>
      <c r="I7">
        <v>267</v>
      </c>
      <c r="K7" s="3" t="s">
        <v>1623</v>
      </c>
      <c r="L7">
        <v>708690.15330000001</v>
      </c>
      <c r="N7" s="7">
        <f>GETPIVOTDATA("[Measures].[Total Sales]",$N$4)</f>
        <v>708690.15330000001</v>
      </c>
      <c r="O7">
        <f>GETPIVOTDATA("[Measures].[Total_ Quantaity]",$O$4)</f>
        <v>2087</v>
      </c>
      <c r="P7">
        <f>GETPIVOTDATA("[Measures].[Customer Count]",$P$4)</f>
        <v>32</v>
      </c>
      <c r="Q7">
        <f>GETPIVOTDATA("[Measures].[Product Count]",$Q$4)</f>
        <v>142</v>
      </c>
      <c r="R7" s="7">
        <f>GETPIVOTDATA("[Measures].[Sales per Customer]",$R$4)</f>
        <v>22146.567290625</v>
      </c>
      <c r="T7" s="3" t="s">
        <v>1567</v>
      </c>
      <c r="U7">
        <v>36486.235500000003</v>
      </c>
      <c r="W7" s="3" t="s">
        <v>1440</v>
      </c>
      <c r="X7">
        <v>14</v>
      </c>
      <c r="Z7" s="3" t="s">
        <v>1641</v>
      </c>
      <c r="AA7">
        <v>99938.575100000002</v>
      </c>
      <c r="AB7">
        <v>294</v>
      </c>
      <c r="AD7" s="3" t="s">
        <v>1195</v>
      </c>
      <c r="AE7" s="5">
        <v>4.1498464262633072E-3</v>
      </c>
    </row>
    <row r="8" spans="2:35" x14ac:dyDescent="0.55000000000000004">
      <c r="B8" s="3" t="s">
        <v>1147</v>
      </c>
      <c r="C8">
        <v>65123.463499999998</v>
      </c>
      <c r="E8" s="3" t="s">
        <v>963</v>
      </c>
      <c r="F8">
        <v>5533.8689000000004</v>
      </c>
      <c r="H8" s="3" t="s">
        <v>653</v>
      </c>
      <c r="I8">
        <v>197</v>
      </c>
      <c r="T8" s="3" t="s">
        <v>1438</v>
      </c>
      <c r="U8">
        <v>35801.843999999997</v>
      </c>
      <c r="W8" s="3" t="s">
        <v>1436</v>
      </c>
      <c r="X8">
        <v>15</v>
      </c>
      <c r="Z8" s="3" t="s">
        <v>1623</v>
      </c>
      <c r="AA8">
        <v>708690.15330000001</v>
      </c>
      <c r="AB8">
        <v>2087</v>
      </c>
      <c r="AD8" s="3" t="s">
        <v>1202</v>
      </c>
      <c r="AE8" s="5">
        <v>8.8402567339579269E-3</v>
      </c>
    </row>
    <row r="9" spans="2:35" x14ac:dyDescent="0.55000000000000004">
      <c r="B9" s="3" t="s">
        <v>936</v>
      </c>
      <c r="C9">
        <v>59894.209199999998</v>
      </c>
      <c r="E9" s="3" t="s">
        <v>1019</v>
      </c>
      <c r="F9">
        <v>11528.843999999999</v>
      </c>
      <c r="H9" s="3" t="s">
        <v>93</v>
      </c>
      <c r="I9">
        <v>173</v>
      </c>
      <c r="T9" s="3" t="s">
        <v>1546</v>
      </c>
      <c r="U9">
        <v>23413.474699999999</v>
      </c>
      <c r="W9" s="3" t="s">
        <v>1563</v>
      </c>
      <c r="X9">
        <v>20</v>
      </c>
      <c r="AD9" s="3" t="s">
        <v>1288</v>
      </c>
      <c r="AE9" s="5">
        <v>0.15498301689187585</v>
      </c>
    </row>
    <row r="10" spans="2:35" x14ac:dyDescent="0.55000000000000004">
      <c r="B10" s="3" t="s">
        <v>1163</v>
      </c>
      <c r="C10">
        <v>53248.692000000003</v>
      </c>
      <c r="E10" s="3" t="s">
        <v>1011</v>
      </c>
      <c r="F10">
        <v>500.30399999999997</v>
      </c>
      <c r="H10" s="3" t="s">
        <v>33</v>
      </c>
      <c r="I10">
        <v>167</v>
      </c>
      <c r="T10" s="3" t="s">
        <v>1557</v>
      </c>
      <c r="U10">
        <v>22887.072</v>
      </c>
      <c r="W10" s="3" t="s">
        <v>1565</v>
      </c>
      <c r="X10">
        <v>19</v>
      </c>
      <c r="AD10" s="3" t="s">
        <v>1319</v>
      </c>
      <c r="AE10" s="5">
        <v>4.2282173472382575E-3</v>
      </c>
      <c r="AG10" s="9" t="s">
        <v>1648</v>
      </c>
      <c r="AH10" s="9"/>
      <c r="AI10" s="4"/>
    </row>
    <row r="11" spans="2:35" x14ac:dyDescent="0.55000000000000004">
      <c r="B11" s="3" t="s">
        <v>910</v>
      </c>
      <c r="C11">
        <v>47848.025999999998</v>
      </c>
      <c r="E11" s="3" t="s">
        <v>1623</v>
      </c>
      <c r="F11">
        <v>708690.15330000001</v>
      </c>
      <c r="H11" s="3" t="s">
        <v>751</v>
      </c>
      <c r="I11">
        <v>140</v>
      </c>
      <c r="T11" s="3" t="s">
        <v>1436</v>
      </c>
      <c r="U11">
        <v>20879.91</v>
      </c>
      <c r="W11" s="3" t="s">
        <v>1567</v>
      </c>
      <c r="X11">
        <v>42</v>
      </c>
      <c r="AD11" s="3" t="s">
        <v>1189</v>
      </c>
      <c r="AE11" s="5">
        <v>4.8710822126220163E-4</v>
      </c>
      <c r="AG11" s="2" t="s">
        <v>1592</v>
      </c>
      <c r="AH11" t="s">
        <v>1624</v>
      </c>
      <c r="AI11" t="s">
        <v>1628</v>
      </c>
    </row>
    <row r="12" spans="2:35" x14ac:dyDescent="0.55000000000000004">
      <c r="B12" s="3" t="s">
        <v>937</v>
      </c>
      <c r="C12">
        <v>34118.535600000003</v>
      </c>
      <c r="H12" s="3" t="s">
        <v>79</v>
      </c>
      <c r="I12">
        <v>81</v>
      </c>
      <c r="T12" s="3" t="s">
        <v>1563</v>
      </c>
      <c r="U12">
        <v>20411.88</v>
      </c>
      <c r="W12" s="3" t="s">
        <v>1557</v>
      </c>
      <c r="X12">
        <v>16</v>
      </c>
      <c r="AD12" s="3" t="s">
        <v>1285</v>
      </c>
      <c r="AE12" s="5">
        <v>0.30129887893279411</v>
      </c>
      <c r="AG12" s="3" t="s">
        <v>1593</v>
      </c>
      <c r="AH12">
        <v>708690.15330000001</v>
      </c>
      <c r="AI12">
        <v>2087</v>
      </c>
    </row>
    <row r="13" spans="2:35" x14ac:dyDescent="0.55000000000000004">
      <c r="B13" s="3" t="s">
        <v>893</v>
      </c>
      <c r="C13">
        <v>33319.985999999997</v>
      </c>
      <c r="H13" s="3" t="s">
        <v>249</v>
      </c>
      <c r="I13">
        <v>77</v>
      </c>
      <c r="T13" s="3" t="s">
        <v>1440</v>
      </c>
      <c r="U13">
        <v>19277.916000000001</v>
      </c>
      <c r="W13" s="3" t="s">
        <v>1559</v>
      </c>
      <c r="X13">
        <v>26</v>
      </c>
      <c r="AD13" s="3" t="s">
        <v>1649</v>
      </c>
      <c r="AE13" s="5">
        <v>1.4514410778959527E-2</v>
      </c>
      <c r="AG13" s="3" t="s">
        <v>1623</v>
      </c>
      <c r="AH13">
        <v>708690.15330000001</v>
      </c>
      <c r="AI13">
        <v>2087</v>
      </c>
    </row>
    <row r="14" spans="2:35" x14ac:dyDescent="0.55000000000000004">
      <c r="B14" s="3" t="s">
        <v>1162</v>
      </c>
      <c r="C14">
        <v>30663.624100000001</v>
      </c>
      <c r="H14" s="3" t="s">
        <v>123</v>
      </c>
      <c r="I14">
        <v>76</v>
      </c>
      <c r="T14" s="3" t="s">
        <v>1565</v>
      </c>
      <c r="U14">
        <v>18692.5193</v>
      </c>
      <c r="W14" s="3" t="s">
        <v>1546</v>
      </c>
      <c r="X14">
        <v>17</v>
      </c>
      <c r="AD14" s="3" t="s">
        <v>1623</v>
      </c>
      <c r="AE14" s="5">
        <v>1</v>
      </c>
    </row>
    <row r="15" spans="2:35" x14ac:dyDescent="0.55000000000000004">
      <c r="B15" s="3" t="s">
        <v>1623</v>
      </c>
      <c r="C15">
        <v>633519.02489999996</v>
      </c>
      <c r="H15" s="3" t="s">
        <v>1623</v>
      </c>
      <c r="I15">
        <v>1735</v>
      </c>
      <c r="T15" s="3" t="s">
        <v>1623</v>
      </c>
      <c r="U15">
        <v>272221.18150000001</v>
      </c>
      <c r="W15" s="3" t="s">
        <v>1623</v>
      </c>
      <c r="X15">
        <v>222</v>
      </c>
    </row>
  </sheetData>
  <mergeCells count="13">
    <mergeCell ref="N1:R1"/>
    <mergeCell ref="B1:L1"/>
    <mergeCell ref="AG10:AH10"/>
    <mergeCell ref="AD3:AE3"/>
    <mergeCell ref="AG3:AH3"/>
    <mergeCell ref="T1:AI1"/>
    <mergeCell ref="N3:R3"/>
    <mergeCell ref="T3:U3"/>
    <mergeCell ref="W3:X3"/>
    <mergeCell ref="B3:C3"/>
    <mergeCell ref="E3:F3"/>
    <mergeCell ref="H3:I3"/>
    <mergeCell ref="K3:L3"/>
  </mergeCells>
  <pageMargins left="0.7" right="0.7" top="0.75" bottom="0.75" header="0.3" footer="0.3"/>
  <drawing r:id="rId1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FA2D3-C404-4646-BB92-73A7B93460AC}">
  <sheetPr>
    <tabColor theme="9" tint="0.39997558519241921"/>
  </sheetPr>
  <dimension ref="A1"/>
  <sheetViews>
    <sheetView showGridLines="0" showRowColHeaders="0" tabSelected="1" zoomScale="80" zoomScaleNormal="80" workbookViewId="0">
      <selection activeCell="J6" sqref="J6"/>
    </sheetView>
  </sheetViews>
  <sheetFormatPr defaultRowHeight="14.4" x14ac:dyDescent="0.55000000000000004"/>
  <cols>
    <col min="1" max="16384" width="8.8398437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D97C9-E048-41F0-947E-AA5BBDDD08F8}">
  <dimension ref="A1:G732"/>
  <sheetViews>
    <sheetView workbookViewId="0">
      <selection activeCell="C9" sqref="A2:G732"/>
    </sheetView>
  </sheetViews>
  <sheetFormatPr defaultRowHeight="14.4" x14ac:dyDescent="0.55000000000000004"/>
  <cols>
    <col min="1" max="1" width="14.15625" bestFit="1" customWidth="1"/>
    <col min="2" max="2" width="6.89453125" bestFit="1" customWidth="1"/>
    <col min="3" max="3" width="13.20703125" customWidth="1"/>
    <col min="4" max="4" width="13.3125" customWidth="1"/>
    <col min="5" max="5" width="8.734375" customWidth="1"/>
    <col min="6" max="6" width="13.9453125" customWidth="1"/>
    <col min="7" max="7" width="9.89453125" bestFit="1" customWidth="1"/>
  </cols>
  <sheetData>
    <row r="1" spans="1:7" x14ac:dyDescent="0.55000000000000004">
      <c r="A1" t="s">
        <v>1616</v>
      </c>
      <c r="B1" t="s">
        <v>1591</v>
      </c>
      <c r="C1" t="s">
        <v>1617</v>
      </c>
      <c r="D1" t="s">
        <v>1618</v>
      </c>
      <c r="E1" t="s">
        <v>1619</v>
      </c>
      <c r="F1" t="s">
        <v>1621</v>
      </c>
      <c r="G1" t="s">
        <v>1620</v>
      </c>
    </row>
    <row r="2" spans="1:7" x14ac:dyDescent="0.55000000000000004">
      <c r="A2" s="1">
        <v>39448</v>
      </c>
      <c r="B2">
        <v>2008</v>
      </c>
      <c r="C2">
        <v>1</v>
      </c>
      <c r="D2" t="s">
        <v>1594</v>
      </c>
      <c r="E2" t="s">
        <v>1595</v>
      </c>
      <c r="F2">
        <v>1</v>
      </c>
      <c r="G2" t="s">
        <v>1596</v>
      </c>
    </row>
    <row r="3" spans="1:7" x14ac:dyDescent="0.55000000000000004">
      <c r="A3" s="1">
        <v>39449</v>
      </c>
      <c r="B3">
        <v>2008</v>
      </c>
      <c r="C3">
        <v>1</v>
      </c>
      <c r="D3" t="s">
        <v>1594</v>
      </c>
      <c r="E3" t="s">
        <v>1595</v>
      </c>
      <c r="F3">
        <v>1</v>
      </c>
      <c r="G3" t="s">
        <v>1597</v>
      </c>
    </row>
    <row r="4" spans="1:7" x14ac:dyDescent="0.55000000000000004">
      <c r="A4" s="1">
        <v>39450</v>
      </c>
      <c r="B4">
        <v>2008</v>
      </c>
      <c r="C4">
        <v>1</v>
      </c>
      <c r="D4" t="s">
        <v>1594</v>
      </c>
      <c r="E4" t="s">
        <v>1595</v>
      </c>
      <c r="F4">
        <v>1</v>
      </c>
      <c r="G4" t="s">
        <v>1598</v>
      </c>
    </row>
    <row r="5" spans="1:7" x14ac:dyDescent="0.55000000000000004">
      <c r="A5" s="1">
        <v>39451</v>
      </c>
      <c r="B5">
        <v>2008</v>
      </c>
      <c r="C5">
        <v>1</v>
      </c>
      <c r="D5" t="s">
        <v>1594</v>
      </c>
      <c r="E5" t="s">
        <v>1595</v>
      </c>
      <c r="F5">
        <v>1</v>
      </c>
      <c r="G5" t="s">
        <v>1599</v>
      </c>
    </row>
    <row r="6" spans="1:7" x14ac:dyDescent="0.55000000000000004">
      <c r="A6" s="1">
        <v>39452</v>
      </c>
      <c r="B6">
        <v>2008</v>
      </c>
      <c r="C6">
        <v>1</v>
      </c>
      <c r="D6" t="s">
        <v>1594</v>
      </c>
      <c r="E6" t="s">
        <v>1595</v>
      </c>
      <c r="F6">
        <v>1</v>
      </c>
      <c r="G6" t="s">
        <v>1600</v>
      </c>
    </row>
    <row r="7" spans="1:7" x14ac:dyDescent="0.55000000000000004">
      <c r="A7" s="1">
        <v>39453</v>
      </c>
      <c r="B7">
        <v>2008</v>
      </c>
      <c r="C7">
        <v>1</v>
      </c>
      <c r="D7" t="s">
        <v>1594</v>
      </c>
      <c r="E7" t="s">
        <v>1595</v>
      </c>
      <c r="F7">
        <v>2</v>
      </c>
      <c r="G7" t="s">
        <v>1601</v>
      </c>
    </row>
    <row r="8" spans="1:7" x14ac:dyDescent="0.55000000000000004">
      <c r="A8" s="1">
        <v>39454</v>
      </c>
      <c r="B8">
        <v>2008</v>
      </c>
      <c r="C8">
        <v>1</v>
      </c>
      <c r="D8" t="s">
        <v>1594</v>
      </c>
      <c r="E8" t="s">
        <v>1595</v>
      </c>
      <c r="F8">
        <v>2</v>
      </c>
      <c r="G8" t="s">
        <v>1602</v>
      </c>
    </row>
    <row r="9" spans="1:7" x14ac:dyDescent="0.55000000000000004">
      <c r="A9" s="1">
        <v>39455</v>
      </c>
      <c r="B9">
        <v>2008</v>
      </c>
      <c r="C9">
        <v>1</v>
      </c>
      <c r="D9" t="s">
        <v>1594</v>
      </c>
      <c r="E9" t="s">
        <v>1595</v>
      </c>
      <c r="F9">
        <v>2</v>
      </c>
      <c r="G9" t="s">
        <v>1596</v>
      </c>
    </row>
    <row r="10" spans="1:7" x14ac:dyDescent="0.55000000000000004">
      <c r="A10" s="1">
        <v>39456</v>
      </c>
      <c r="B10">
        <v>2008</v>
      </c>
      <c r="C10">
        <v>1</v>
      </c>
      <c r="D10" t="s">
        <v>1594</v>
      </c>
      <c r="E10" t="s">
        <v>1595</v>
      </c>
      <c r="F10">
        <v>2</v>
      </c>
      <c r="G10" t="s">
        <v>1597</v>
      </c>
    </row>
    <row r="11" spans="1:7" x14ac:dyDescent="0.55000000000000004">
      <c r="A11" s="1">
        <v>39457</v>
      </c>
      <c r="B11">
        <v>2008</v>
      </c>
      <c r="C11">
        <v>1</v>
      </c>
      <c r="D11" t="s">
        <v>1594</v>
      </c>
      <c r="E11" t="s">
        <v>1595</v>
      </c>
      <c r="F11">
        <v>2</v>
      </c>
      <c r="G11" t="s">
        <v>1598</v>
      </c>
    </row>
    <row r="12" spans="1:7" x14ac:dyDescent="0.55000000000000004">
      <c r="A12" s="1">
        <v>39458</v>
      </c>
      <c r="B12">
        <v>2008</v>
      </c>
      <c r="C12">
        <v>1</v>
      </c>
      <c r="D12" t="s">
        <v>1594</v>
      </c>
      <c r="E12" t="s">
        <v>1595</v>
      </c>
      <c r="F12">
        <v>2</v>
      </c>
      <c r="G12" t="s">
        <v>1599</v>
      </c>
    </row>
    <row r="13" spans="1:7" x14ac:dyDescent="0.55000000000000004">
      <c r="A13" s="1">
        <v>39459</v>
      </c>
      <c r="B13">
        <v>2008</v>
      </c>
      <c r="C13">
        <v>1</v>
      </c>
      <c r="D13" t="s">
        <v>1594</v>
      </c>
      <c r="E13" t="s">
        <v>1595</v>
      </c>
      <c r="F13">
        <v>2</v>
      </c>
      <c r="G13" t="s">
        <v>1600</v>
      </c>
    </row>
    <row r="14" spans="1:7" x14ac:dyDescent="0.55000000000000004">
      <c r="A14" s="1">
        <v>39460</v>
      </c>
      <c r="B14">
        <v>2008</v>
      </c>
      <c r="C14">
        <v>1</v>
      </c>
      <c r="D14" t="s">
        <v>1594</v>
      </c>
      <c r="E14" t="s">
        <v>1595</v>
      </c>
      <c r="F14">
        <v>3</v>
      </c>
      <c r="G14" t="s">
        <v>1601</v>
      </c>
    </row>
    <row r="15" spans="1:7" x14ac:dyDescent="0.55000000000000004">
      <c r="A15" s="1">
        <v>39461</v>
      </c>
      <c r="B15">
        <v>2008</v>
      </c>
      <c r="C15">
        <v>1</v>
      </c>
      <c r="D15" t="s">
        <v>1594</v>
      </c>
      <c r="E15" t="s">
        <v>1595</v>
      </c>
      <c r="F15">
        <v>3</v>
      </c>
      <c r="G15" t="s">
        <v>1602</v>
      </c>
    </row>
    <row r="16" spans="1:7" x14ac:dyDescent="0.55000000000000004">
      <c r="A16" s="1">
        <v>39462</v>
      </c>
      <c r="B16">
        <v>2008</v>
      </c>
      <c r="C16">
        <v>1</v>
      </c>
      <c r="D16" t="s">
        <v>1594</v>
      </c>
      <c r="E16" t="s">
        <v>1595</v>
      </c>
      <c r="F16">
        <v>3</v>
      </c>
      <c r="G16" t="s">
        <v>1596</v>
      </c>
    </row>
    <row r="17" spans="1:7" x14ac:dyDescent="0.55000000000000004">
      <c r="A17" s="1">
        <v>39463</v>
      </c>
      <c r="B17">
        <v>2008</v>
      </c>
      <c r="C17">
        <v>1</v>
      </c>
      <c r="D17" t="s">
        <v>1594</v>
      </c>
      <c r="E17" t="s">
        <v>1595</v>
      </c>
      <c r="F17">
        <v>3</v>
      </c>
      <c r="G17" t="s">
        <v>1597</v>
      </c>
    </row>
    <row r="18" spans="1:7" x14ac:dyDescent="0.55000000000000004">
      <c r="A18" s="1">
        <v>39464</v>
      </c>
      <c r="B18">
        <v>2008</v>
      </c>
      <c r="C18">
        <v>1</v>
      </c>
      <c r="D18" t="s">
        <v>1594</v>
      </c>
      <c r="E18" t="s">
        <v>1595</v>
      </c>
      <c r="F18">
        <v>3</v>
      </c>
      <c r="G18" t="s">
        <v>1598</v>
      </c>
    </row>
    <row r="19" spans="1:7" x14ac:dyDescent="0.55000000000000004">
      <c r="A19" s="1">
        <v>39465</v>
      </c>
      <c r="B19">
        <v>2008</v>
      </c>
      <c r="C19">
        <v>1</v>
      </c>
      <c r="D19" t="s">
        <v>1594</v>
      </c>
      <c r="E19" t="s">
        <v>1595</v>
      </c>
      <c r="F19">
        <v>3</v>
      </c>
      <c r="G19" t="s">
        <v>1599</v>
      </c>
    </row>
    <row r="20" spans="1:7" x14ac:dyDescent="0.55000000000000004">
      <c r="A20" s="1">
        <v>39466</v>
      </c>
      <c r="B20">
        <v>2008</v>
      </c>
      <c r="C20">
        <v>1</v>
      </c>
      <c r="D20" t="s">
        <v>1594</v>
      </c>
      <c r="E20" t="s">
        <v>1595</v>
      </c>
      <c r="F20">
        <v>3</v>
      </c>
      <c r="G20" t="s">
        <v>1600</v>
      </c>
    </row>
    <row r="21" spans="1:7" x14ac:dyDescent="0.55000000000000004">
      <c r="A21" s="1">
        <v>39467</v>
      </c>
      <c r="B21">
        <v>2008</v>
      </c>
      <c r="C21">
        <v>1</v>
      </c>
      <c r="D21" t="s">
        <v>1594</v>
      </c>
      <c r="E21" t="s">
        <v>1595</v>
      </c>
      <c r="F21">
        <v>4</v>
      </c>
      <c r="G21" t="s">
        <v>1601</v>
      </c>
    </row>
    <row r="22" spans="1:7" x14ac:dyDescent="0.55000000000000004">
      <c r="A22" s="1">
        <v>39468</v>
      </c>
      <c r="B22">
        <v>2008</v>
      </c>
      <c r="C22">
        <v>1</v>
      </c>
      <c r="D22" t="s">
        <v>1594</v>
      </c>
      <c r="E22" t="s">
        <v>1595</v>
      </c>
      <c r="F22">
        <v>4</v>
      </c>
      <c r="G22" t="s">
        <v>1602</v>
      </c>
    </row>
    <row r="23" spans="1:7" x14ac:dyDescent="0.55000000000000004">
      <c r="A23" s="1">
        <v>39469</v>
      </c>
      <c r="B23">
        <v>2008</v>
      </c>
      <c r="C23">
        <v>1</v>
      </c>
      <c r="D23" t="s">
        <v>1594</v>
      </c>
      <c r="E23" t="s">
        <v>1595</v>
      </c>
      <c r="F23">
        <v>4</v>
      </c>
      <c r="G23" t="s">
        <v>1596</v>
      </c>
    </row>
    <row r="24" spans="1:7" x14ac:dyDescent="0.55000000000000004">
      <c r="A24" s="1">
        <v>39470</v>
      </c>
      <c r="B24">
        <v>2008</v>
      </c>
      <c r="C24">
        <v>1</v>
      </c>
      <c r="D24" t="s">
        <v>1594</v>
      </c>
      <c r="E24" t="s">
        <v>1595</v>
      </c>
      <c r="F24">
        <v>4</v>
      </c>
      <c r="G24" t="s">
        <v>1597</v>
      </c>
    </row>
    <row r="25" spans="1:7" x14ac:dyDescent="0.55000000000000004">
      <c r="A25" s="1">
        <v>39471</v>
      </c>
      <c r="B25">
        <v>2008</v>
      </c>
      <c r="C25">
        <v>1</v>
      </c>
      <c r="D25" t="s">
        <v>1594</v>
      </c>
      <c r="E25" t="s">
        <v>1595</v>
      </c>
      <c r="F25">
        <v>4</v>
      </c>
      <c r="G25" t="s">
        <v>1598</v>
      </c>
    </row>
    <row r="26" spans="1:7" x14ac:dyDescent="0.55000000000000004">
      <c r="A26" s="1">
        <v>39472</v>
      </c>
      <c r="B26">
        <v>2008</v>
      </c>
      <c r="C26">
        <v>1</v>
      </c>
      <c r="D26" t="s">
        <v>1594</v>
      </c>
      <c r="E26" t="s">
        <v>1595</v>
      </c>
      <c r="F26">
        <v>4</v>
      </c>
      <c r="G26" t="s">
        <v>1599</v>
      </c>
    </row>
    <row r="27" spans="1:7" x14ac:dyDescent="0.55000000000000004">
      <c r="A27" s="1">
        <v>39473</v>
      </c>
      <c r="B27">
        <v>2008</v>
      </c>
      <c r="C27">
        <v>1</v>
      </c>
      <c r="D27" t="s">
        <v>1594</v>
      </c>
      <c r="E27" t="s">
        <v>1595</v>
      </c>
      <c r="F27">
        <v>4</v>
      </c>
      <c r="G27" t="s">
        <v>1600</v>
      </c>
    </row>
    <row r="28" spans="1:7" x14ac:dyDescent="0.55000000000000004">
      <c r="A28" s="1">
        <v>39474</v>
      </c>
      <c r="B28">
        <v>2008</v>
      </c>
      <c r="C28">
        <v>1</v>
      </c>
      <c r="D28" t="s">
        <v>1594</v>
      </c>
      <c r="E28" t="s">
        <v>1595</v>
      </c>
      <c r="F28">
        <v>5</v>
      </c>
      <c r="G28" t="s">
        <v>1601</v>
      </c>
    </row>
    <row r="29" spans="1:7" x14ac:dyDescent="0.55000000000000004">
      <c r="A29" s="1">
        <v>39475</v>
      </c>
      <c r="B29">
        <v>2008</v>
      </c>
      <c r="C29">
        <v>1</v>
      </c>
      <c r="D29" t="s">
        <v>1594</v>
      </c>
      <c r="E29" t="s">
        <v>1595</v>
      </c>
      <c r="F29">
        <v>5</v>
      </c>
      <c r="G29" t="s">
        <v>1602</v>
      </c>
    </row>
    <row r="30" spans="1:7" x14ac:dyDescent="0.55000000000000004">
      <c r="A30" s="1">
        <v>39476</v>
      </c>
      <c r="B30">
        <v>2008</v>
      </c>
      <c r="C30">
        <v>1</v>
      </c>
      <c r="D30" t="s">
        <v>1594</v>
      </c>
      <c r="E30" t="s">
        <v>1595</v>
      </c>
      <c r="F30">
        <v>5</v>
      </c>
      <c r="G30" t="s">
        <v>1596</v>
      </c>
    </row>
    <row r="31" spans="1:7" x14ac:dyDescent="0.55000000000000004">
      <c r="A31" s="1">
        <v>39477</v>
      </c>
      <c r="B31">
        <v>2008</v>
      </c>
      <c r="C31">
        <v>1</v>
      </c>
      <c r="D31" t="s">
        <v>1594</v>
      </c>
      <c r="E31" t="s">
        <v>1595</v>
      </c>
      <c r="F31">
        <v>5</v>
      </c>
      <c r="G31" t="s">
        <v>1597</v>
      </c>
    </row>
    <row r="32" spans="1:7" x14ac:dyDescent="0.55000000000000004">
      <c r="A32" s="1">
        <v>39478</v>
      </c>
      <c r="B32">
        <v>2008</v>
      </c>
      <c r="C32">
        <v>1</v>
      </c>
      <c r="D32" t="s">
        <v>1594</v>
      </c>
      <c r="E32" t="s">
        <v>1595</v>
      </c>
      <c r="F32">
        <v>5</v>
      </c>
      <c r="G32" t="s">
        <v>1598</v>
      </c>
    </row>
    <row r="33" spans="1:7" x14ac:dyDescent="0.55000000000000004">
      <c r="A33" s="1">
        <v>39479</v>
      </c>
      <c r="B33">
        <v>2008</v>
      </c>
      <c r="C33">
        <v>2</v>
      </c>
      <c r="D33" t="s">
        <v>1603</v>
      </c>
      <c r="E33" t="s">
        <v>1595</v>
      </c>
      <c r="F33">
        <v>5</v>
      </c>
      <c r="G33" t="s">
        <v>1599</v>
      </c>
    </row>
    <row r="34" spans="1:7" x14ac:dyDescent="0.55000000000000004">
      <c r="A34" s="1">
        <v>39480</v>
      </c>
      <c r="B34">
        <v>2008</v>
      </c>
      <c r="C34">
        <v>2</v>
      </c>
      <c r="D34" t="s">
        <v>1603</v>
      </c>
      <c r="E34" t="s">
        <v>1595</v>
      </c>
      <c r="F34">
        <v>5</v>
      </c>
      <c r="G34" t="s">
        <v>1600</v>
      </c>
    </row>
    <row r="35" spans="1:7" x14ac:dyDescent="0.55000000000000004">
      <c r="A35" s="1">
        <v>39481</v>
      </c>
      <c r="B35">
        <v>2008</v>
      </c>
      <c r="C35">
        <v>2</v>
      </c>
      <c r="D35" t="s">
        <v>1603</v>
      </c>
      <c r="E35" t="s">
        <v>1595</v>
      </c>
      <c r="F35">
        <v>6</v>
      </c>
      <c r="G35" t="s">
        <v>1601</v>
      </c>
    </row>
    <row r="36" spans="1:7" x14ac:dyDescent="0.55000000000000004">
      <c r="A36" s="1">
        <v>39482</v>
      </c>
      <c r="B36">
        <v>2008</v>
      </c>
      <c r="C36">
        <v>2</v>
      </c>
      <c r="D36" t="s">
        <v>1603</v>
      </c>
      <c r="E36" t="s">
        <v>1595</v>
      </c>
      <c r="F36">
        <v>6</v>
      </c>
      <c r="G36" t="s">
        <v>1602</v>
      </c>
    </row>
    <row r="37" spans="1:7" x14ac:dyDescent="0.55000000000000004">
      <c r="A37" s="1">
        <v>39483</v>
      </c>
      <c r="B37">
        <v>2008</v>
      </c>
      <c r="C37">
        <v>2</v>
      </c>
      <c r="D37" t="s">
        <v>1603</v>
      </c>
      <c r="E37" t="s">
        <v>1595</v>
      </c>
      <c r="F37">
        <v>6</v>
      </c>
      <c r="G37" t="s">
        <v>1596</v>
      </c>
    </row>
    <row r="38" spans="1:7" x14ac:dyDescent="0.55000000000000004">
      <c r="A38" s="1">
        <v>39484</v>
      </c>
      <c r="B38">
        <v>2008</v>
      </c>
      <c r="C38">
        <v>2</v>
      </c>
      <c r="D38" t="s">
        <v>1603</v>
      </c>
      <c r="E38" t="s">
        <v>1595</v>
      </c>
      <c r="F38">
        <v>6</v>
      </c>
      <c r="G38" t="s">
        <v>1597</v>
      </c>
    </row>
    <row r="39" spans="1:7" x14ac:dyDescent="0.55000000000000004">
      <c r="A39" s="1">
        <v>39485</v>
      </c>
      <c r="B39">
        <v>2008</v>
      </c>
      <c r="C39">
        <v>2</v>
      </c>
      <c r="D39" t="s">
        <v>1603</v>
      </c>
      <c r="E39" t="s">
        <v>1595</v>
      </c>
      <c r="F39">
        <v>6</v>
      </c>
      <c r="G39" t="s">
        <v>1598</v>
      </c>
    </row>
    <row r="40" spans="1:7" x14ac:dyDescent="0.55000000000000004">
      <c r="A40" s="1">
        <v>39486</v>
      </c>
      <c r="B40">
        <v>2008</v>
      </c>
      <c r="C40">
        <v>2</v>
      </c>
      <c r="D40" t="s">
        <v>1603</v>
      </c>
      <c r="E40" t="s">
        <v>1595</v>
      </c>
      <c r="F40">
        <v>6</v>
      </c>
      <c r="G40" t="s">
        <v>1599</v>
      </c>
    </row>
    <row r="41" spans="1:7" x14ac:dyDescent="0.55000000000000004">
      <c r="A41" s="1">
        <v>39487</v>
      </c>
      <c r="B41">
        <v>2008</v>
      </c>
      <c r="C41">
        <v>2</v>
      </c>
      <c r="D41" t="s">
        <v>1603</v>
      </c>
      <c r="E41" t="s">
        <v>1595</v>
      </c>
      <c r="F41">
        <v>6</v>
      </c>
      <c r="G41" t="s">
        <v>1600</v>
      </c>
    </row>
    <row r="42" spans="1:7" x14ac:dyDescent="0.55000000000000004">
      <c r="A42" s="1">
        <v>39488</v>
      </c>
      <c r="B42">
        <v>2008</v>
      </c>
      <c r="C42">
        <v>2</v>
      </c>
      <c r="D42" t="s">
        <v>1603</v>
      </c>
      <c r="E42" t="s">
        <v>1595</v>
      </c>
      <c r="F42">
        <v>7</v>
      </c>
      <c r="G42" t="s">
        <v>1601</v>
      </c>
    </row>
    <row r="43" spans="1:7" x14ac:dyDescent="0.55000000000000004">
      <c r="A43" s="1">
        <v>39489</v>
      </c>
      <c r="B43">
        <v>2008</v>
      </c>
      <c r="C43">
        <v>2</v>
      </c>
      <c r="D43" t="s">
        <v>1603</v>
      </c>
      <c r="E43" t="s">
        <v>1595</v>
      </c>
      <c r="F43">
        <v>7</v>
      </c>
      <c r="G43" t="s">
        <v>1602</v>
      </c>
    </row>
    <row r="44" spans="1:7" x14ac:dyDescent="0.55000000000000004">
      <c r="A44" s="1">
        <v>39490</v>
      </c>
      <c r="B44">
        <v>2008</v>
      </c>
      <c r="C44">
        <v>2</v>
      </c>
      <c r="D44" t="s">
        <v>1603</v>
      </c>
      <c r="E44" t="s">
        <v>1595</v>
      </c>
      <c r="F44">
        <v>7</v>
      </c>
      <c r="G44" t="s">
        <v>1596</v>
      </c>
    </row>
    <row r="45" spans="1:7" x14ac:dyDescent="0.55000000000000004">
      <c r="A45" s="1">
        <v>39491</v>
      </c>
      <c r="B45">
        <v>2008</v>
      </c>
      <c r="C45">
        <v>2</v>
      </c>
      <c r="D45" t="s">
        <v>1603</v>
      </c>
      <c r="E45" t="s">
        <v>1595</v>
      </c>
      <c r="F45">
        <v>7</v>
      </c>
      <c r="G45" t="s">
        <v>1597</v>
      </c>
    </row>
    <row r="46" spans="1:7" x14ac:dyDescent="0.55000000000000004">
      <c r="A46" s="1">
        <v>39492</v>
      </c>
      <c r="B46">
        <v>2008</v>
      </c>
      <c r="C46">
        <v>2</v>
      </c>
      <c r="D46" t="s">
        <v>1603</v>
      </c>
      <c r="E46" t="s">
        <v>1595</v>
      </c>
      <c r="F46">
        <v>7</v>
      </c>
      <c r="G46" t="s">
        <v>1598</v>
      </c>
    </row>
    <row r="47" spans="1:7" x14ac:dyDescent="0.55000000000000004">
      <c r="A47" s="1">
        <v>39493</v>
      </c>
      <c r="B47">
        <v>2008</v>
      </c>
      <c r="C47">
        <v>2</v>
      </c>
      <c r="D47" t="s">
        <v>1603</v>
      </c>
      <c r="E47" t="s">
        <v>1595</v>
      </c>
      <c r="F47">
        <v>7</v>
      </c>
      <c r="G47" t="s">
        <v>1599</v>
      </c>
    </row>
    <row r="48" spans="1:7" x14ac:dyDescent="0.55000000000000004">
      <c r="A48" s="1">
        <v>39494</v>
      </c>
      <c r="B48">
        <v>2008</v>
      </c>
      <c r="C48">
        <v>2</v>
      </c>
      <c r="D48" t="s">
        <v>1603</v>
      </c>
      <c r="E48" t="s">
        <v>1595</v>
      </c>
      <c r="F48">
        <v>7</v>
      </c>
      <c r="G48" t="s">
        <v>1600</v>
      </c>
    </row>
    <row r="49" spans="1:7" x14ac:dyDescent="0.55000000000000004">
      <c r="A49" s="1">
        <v>39495</v>
      </c>
      <c r="B49">
        <v>2008</v>
      </c>
      <c r="C49">
        <v>2</v>
      </c>
      <c r="D49" t="s">
        <v>1603</v>
      </c>
      <c r="E49" t="s">
        <v>1595</v>
      </c>
      <c r="F49">
        <v>8</v>
      </c>
      <c r="G49" t="s">
        <v>1601</v>
      </c>
    </row>
    <row r="50" spans="1:7" x14ac:dyDescent="0.55000000000000004">
      <c r="A50" s="1">
        <v>39496</v>
      </c>
      <c r="B50">
        <v>2008</v>
      </c>
      <c r="C50">
        <v>2</v>
      </c>
      <c r="D50" t="s">
        <v>1603</v>
      </c>
      <c r="E50" t="s">
        <v>1595</v>
      </c>
      <c r="F50">
        <v>8</v>
      </c>
      <c r="G50" t="s">
        <v>1602</v>
      </c>
    </row>
    <row r="51" spans="1:7" x14ac:dyDescent="0.55000000000000004">
      <c r="A51" s="1">
        <v>39497</v>
      </c>
      <c r="B51">
        <v>2008</v>
      </c>
      <c r="C51">
        <v>2</v>
      </c>
      <c r="D51" t="s">
        <v>1603</v>
      </c>
      <c r="E51" t="s">
        <v>1595</v>
      </c>
      <c r="F51">
        <v>8</v>
      </c>
      <c r="G51" t="s">
        <v>1596</v>
      </c>
    </row>
    <row r="52" spans="1:7" x14ac:dyDescent="0.55000000000000004">
      <c r="A52" s="1">
        <v>39498</v>
      </c>
      <c r="B52">
        <v>2008</v>
      </c>
      <c r="C52">
        <v>2</v>
      </c>
      <c r="D52" t="s">
        <v>1603</v>
      </c>
      <c r="E52" t="s">
        <v>1595</v>
      </c>
      <c r="F52">
        <v>8</v>
      </c>
      <c r="G52" t="s">
        <v>1597</v>
      </c>
    </row>
    <row r="53" spans="1:7" x14ac:dyDescent="0.55000000000000004">
      <c r="A53" s="1">
        <v>39499</v>
      </c>
      <c r="B53">
        <v>2008</v>
      </c>
      <c r="C53">
        <v>2</v>
      </c>
      <c r="D53" t="s">
        <v>1603</v>
      </c>
      <c r="E53" t="s">
        <v>1595</v>
      </c>
      <c r="F53">
        <v>8</v>
      </c>
      <c r="G53" t="s">
        <v>1598</v>
      </c>
    </row>
    <row r="54" spans="1:7" x14ac:dyDescent="0.55000000000000004">
      <c r="A54" s="1">
        <v>39500</v>
      </c>
      <c r="B54">
        <v>2008</v>
      </c>
      <c r="C54">
        <v>2</v>
      </c>
      <c r="D54" t="s">
        <v>1603</v>
      </c>
      <c r="E54" t="s">
        <v>1595</v>
      </c>
      <c r="F54">
        <v>8</v>
      </c>
      <c r="G54" t="s">
        <v>1599</v>
      </c>
    </row>
    <row r="55" spans="1:7" x14ac:dyDescent="0.55000000000000004">
      <c r="A55" s="1">
        <v>39501</v>
      </c>
      <c r="B55">
        <v>2008</v>
      </c>
      <c r="C55">
        <v>2</v>
      </c>
      <c r="D55" t="s">
        <v>1603</v>
      </c>
      <c r="E55" t="s">
        <v>1595</v>
      </c>
      <c r="F55">
        <v>8</v>
      </c>
      <c r="G55" t="s">
        <v>1600</v>
      </c>
    </row>
    <row r="56" spans="1:7" x14ac:dyDescent="0.55000000000000004">
      <c r="A56" s="1">
        <v>39502</v>
      </c>
      <c r="B56">
        <v>2008</v>
      </c>
      <c r="C56">
        <v>2</v>
      </c>
      <c r="D56" t="s">
        <v>1603</v>
      </c>
      <c r="E56" t="s">
        <v>1595</v>
      </c>
      <c r="F56">
        <v>9</v>
      </c>
      <c r="G56" t="s">
        <v>1601</v>
      </c>
    </row>
    <row r="57" spans="1:7" x14ac:dyDescent="0.55000000000000004">
      <c r="A57" s="1">
        <v>39503</v>
      </c>
      <c r="B57">
        <v>2008</v>
      </c>
      <c r="C57">
        <v>2</v>
      </c>
      <c r="D57" t="s">
        <v>1603</v>
      </c>
      <c r="E57" t="s">
        <v>1595</v>
      </c>
      <c r="F57">
        <v>9</v>
      </c>
      <c r="G57" t="s">
        <v>1602</v>
      </c>
    </row>
    <row r="58" spans="1:7" x14ac:dyDescent="0.55000000000000004">
      <c r="A58" s="1">
        <v>39504</v>
      </c>
      <c r="B58">
        <v>2008</v>
      </c>
      <c r="C58">
        <v>2</v>
      </c>
      <c r="D58" t="s">
        <v>1603</v>
      </c>
      <c r="E58" t="s">
        <v>1595</v>
      </c>
      <c r="F58">
        <v>9</v>
      </c>
      <c r="G58" t="s">
        <v>1596</v>
      </c>
    </row>
    <row r="59" spans="1:7" x14ac:dyDescent="0.55000000000000004">
      <c r="A59" s="1">
        <v>39505</v>
      </c>
      <c r="B59">
        <v>2008</v>
      </c>
      <c r="C59">
        <v>2</v>
      </c>
      <c r="D59" t="s">
        <v>1603</v>
      </c>
      <c r="E59" t="s">
        <v>1595</v>
      </c>
      <c r="F59">
        <v>9</v>
      </c>
      <c r="G59" t="s">
        <v>1597</v>
      </c>
    </row>
    <row r="60" spans="1:7" x14ac:dyDescent="0.55000000000000004">
      <c r="A60" s="1">
        <v>39506</v>
      </c>
      <c r="B60">
        <v>2008</v>
      </c>
      <c r="C60">
        <v>2</v>
      </c>
      <c r="D60" t="s">
        <v>1603</v>
      </c>
      <c r="E60" t="s">
        <v>1595</v>
      </c>
      <c r="F60">
        <v>9</v>
      </c>
      <c r="G60" t="s">
        <v>1598</v>
      </c>
    </row>
    <row r="61" spans="1:7" x14ac:dyDescent="0.55000000000000004">
      <c r="A61" s="1">
        <v>39507</v>
      </c>
      <c r="B61">
        <v>2008</v>
      </c>
      <c r="C61">
        <v>2</v>
      </c>
      <c r="D61" t="s">
        <v>1603</v>
      </c>
      <c r="E61" t="s">
        <v>1595</v>
      </c>
      <c r="F61">
        <v>9</v>
      </c>
      <c r="G61" t="s">
        <v>1599</v>
      </c>
    </row>
    <row r="62" spans="1:7" x14ac:dyDescent="0.55000000000000004">
      <c r="A62" s="1">
        <v>39508</v>
      </c>
      <c r="B62">
        <v>2008</v>
      </c>
      <c r="C62">
        <v>3</v>
      </c>
      <c r="D62" t="s">
        <v>1604</v>
      </c>
      <c r="E62" t="s">
        <v>1595</v>
      </c>
      <c r="F62">
        <v>9</v>
      </c>
      <c r="G62" t="s">
        <v>1600</v>
      </c>
    </row>
    <row r="63" spans="1:7" x14ac:dyDescent="0.55000000000000004">
      <c r="A63" s="1">
        <v>39509</v>
      </c>
      <c r="B63">
        <v>2008</v>
      </c>
      <c r="C63">
        <v>3</v>
      </c>
      <c r="D63" t="s">
        <v>1604</v>
      </c>
      <c r="E63" t="s">
        <v>1595</v>
      </c>
      <c r="F63">
        <v>10</v>
      </c>
      <c r="G63" t="s">
        <v>1601</v>
      </c>
    </row>
    <row r="64" spans="1:7" x14ac:dyDescent="0.55000000000000004">
      <c r="A64" s="1">
        <v>39510</v>
      </c>
      <c r="B64">
        <v>2008</v>
      </c>
      <c r="C64">
        <v>3</v>
      </c>
      <c r="D64" t="s">
        <v>1604</v>
      </c>
      <c r="E64" t="s">
        <v>1595</v>
      </c>
      <c r="F64">
        <v>10</v>
      </c>
      <c r="G64" t="s">
        <v>1602</v>
      </c>
    </row>
    <row r="65" spans="1:7" x14ac:dyDescent="0.55000000000000004">
      <c r="A65" s="1">
        <v>39511</v>
      </c>
      <c r="B65">
        <v>2008</v>
      </c>
      <c r="C65">
        <v>3</v>
      </c>
      <c r="D65" t="s">
        <v>1604</v>
      </c>
      <c r="E65" t="s">
        <v>1595</v>
      </c>
      <c r="F65">
        <v>10</v>
      </c>
      <c r="G65" t="s">
        <v>1596</v>
      </c>
    </row>
    <row r="66" spans="1:7" x14ac:dyDescent="0.55000000000000004">
      <c r="A66" s="1">
        <v>39512</v>
      </c>
      <c r="B66">
        <v>2008</v>
      </c>
      <c r="C66">
        <v>3</v>
      </c>
      <c r="D66" t="s">
        <v>1604</v>
      </c>
      <c r="E66" t="s">
        <v>1595</v>
      </c>
      <c r="F66">
        <v>10</v>
      </c>
      <c r="G66" t="s">
        <v>1597</v>
      </c>
    </row>
    <row r="67" spans="1:7" x14ac:dyDescent="0.55000000000000004">
      <c r="A67" s="1">
        <v>39513</v>
      </c>
      <c r="B67">
        <v>2008</v>
      </c>
      <c r="C67">
        <v>3</v>
      </c>
      <c r="D67" t="s">
        <v>1604</v>
      </c>
      <c r="E67" t="s">
        <v>1595</v>
      </c>
      <c r="F67">
        <v>10</v>
      </c>
      <c r="G67" t="s">
        <v>1598</v>
      </c>
    </row>
    <row r="68" spans="1:7" x14ac:dyDescent="0.55000000000000004">
      <c r="A68" s="1">
        <v>39514</v>
      </c>
      <c r="B68">
        <v>2008</v>
      </c>
      <c r="C68">
        <v>3</v>
      </c>
      <c r="D68" t="s">
        <v>1604</v>
      </c>
      <c r="E68" t="s">
        <v>1595</v>
      </c>
      <c r="F68">
        <v>10</v>
      </c>
      <c r="G68" t="s">
        <v>1599</v>
      </c>
    </row>
    <row r="69" spans="1:7" x14ac:dyDescent="0.55000000000000004">
      <c r="A69" s="1">
        <v>39515</v>
      </c>
      <c r="B69">
        <v>2008</v>
      </c>
      <c r="C69">
        <v>3</v>
      </c>
      <c r="D69" t="s">
        <v>1604</v>
      </c>
      <c r="E69" t="s">
        <v>1595</v>
      </c>
      <c r="F69">
        <v>10</v>
      </c>
      <c r="G69" t="s">
        <v>1600</v>
      </c>
    </row>
    <row r="70" spans="1:7" x14ac:dyDescent="0.55000000000000004">
      <c r="A70" s="1">
        <v>39516</v>
      </c>
      <c r="B70">
        <v>2008</v>
      </c>
      <c r="C70">
        <v>3</v>
      </c>
      <c r="D70" t="s">
        <v>1604</v>
      </c>
      <c r="E70" t="s">
        <v>1595</v>
      </c>
      <c r="F70">
        <v>11</v>
      </c>
      <c r="G70" t="s">
        <v>1601</v>
      </c>
    </row>
    <row r="71" spans="1:7" x14ac:dyDescent="0.55000000000000004">
      <c r="A71" s="1">
        <v>39517</v>
      </c>
      <c r="B71">
        <v>2008</v>
      </c>
      <c r="C71">
        <v>3</v>
      </c>
      <c r="D71" t="s">
        <v>1604</v>
      </c>
      <c r="E71" t="s">
        <v>1595</v>
      </c>
      <c r="F71">
        <v>11</v>
      </c>
      <c r="G71" t="s">
        <v>1602</v>
      </c>
    </row>
    <row r="72" spans="1:7" x14ac:dyDescent="0.55000000000000004">
      <c r="A72" s="1">
        <v>39518</v>
      </c>
      <c r="B72">
        <v>2008</v>
      </c>
      <c r="C72">
        <v>3</v>
      </c>
      <c r="D72" t="s">
        <v>1604</v>
      </c>
      <c r="E72" t="s">
        <v>1595</v>
      </c>
      <c r="F72">
        <v>11</v>
      </c>
      <c r="G72" t="s">
        <v>1596</v>
      </c>
    </row>
    <row r="73" spans="1:7" x14ac:dyDescent="0.55000000000000004">
      <c r="A73" s="1">
        <v>39519</v>
      </c>
      <c r="B73">
        <v>2008</v>
      </c>
      <c r="C73">
        <v>3</v>
      </c>
      <c r="D73" t="s">
        <v>1604</v>
      </c>
      <c r="E73" t="s">
        <v>1595</v>
      </c>
      <c r="F73">
        <v>11</v>
      </c>
      <c r="G73" t="s">
        <v>1597</v>
      </c>
    </row>
    <row r="74" spans="1:7" x14ac:dyDescent="0.55000000000000004">
      <c r="A74" s="1">
        <v>39520</v>
      </c>
      <c r="B74">
        <v>2008</v>
      </c>
      <c r="C74">
        <v>3</v>
      </c>
      <c r="D74" t="s">
        <v>1604</v>
      </c>
      <c r="E74" t="s">
        <v>1595</v>
      </c>
      <c r="F74">
        <v>11</v>
      </c>
      <c r="G74" t="s">
        <v>1598</v>
      </c>
    </row>
    <row r="75" spans="1:7" x14ac:dyDescent="0.55000000000000004">
      <c r="A75" s="1">
        <v>39521</v>
      </c>
      <c r="B75">
        <v>2008</v>
      </c>
      <c r="C75">
        <v>3</v>
      </c>
      <c r="D75" t="s">
        <v>1604</v>
      </c>
      <c r="E75" t="s">
        <v>1595</v>
      </c>
      <c r="F75">
        <v>11</v>
      </c>
      <c r="G75" t="s">
        <v>1599</v>
      </c>
    </row>
    <row r="76" spans="1:7" x14ac:dyDescent="0.55000000000000004">
      <c r="A76" s="1">
        <v>39522</v>
      </c>
      <c r="B76">
        <v>2008</v>
      </c>
      <c r="C76">
        <v>3</v>
      </c>
      <c r="D76" t="s">
        <v>1604</v>
      </c>
      <c r="E76" t="s">
        <v>1595</v>
      </c>
      <c r="F76">
        <v>11</v>
      </c>
      <c r="G76" t="s">
        <v>1600</v>
      </c>
    </row>
    <row r="77" spans="1:7" x14ac:dyDescent="0.55000000000000004">
      <c r="A77" s="1">
        <v>39523</v>
      </c>
      <c r="B77">
        <v>2008</v>
      </c>
      <c r="C77">
        <v>3</v>
      </c>
      <c r="D77" t="s">
        <v>1604</v>
      </c>
      <c r="E77" t="s">
        <v>1595</v>
      </c>
      <c r="F77">
        <v>12</v>
      </c>
      <c r="G77" t="s">
        <v>1601</v>
      </c>
    </row>
    <row r="78" spans="1:7" x14ac:dyDescent="0.55000000000000004">
      <c r="A78" s="1">
        <v>39524</v>
      </c>
      <c r="B78">
        <v>2008</v>
      </c>
      <c r="C78">
        <v>3</v>
      </c>
      <c r="D78" t="s">
        <v>1604</v>
      </c>
      <c r="E78" t="s">
        <v>1595</v>
      </c>
      <c r="F78">
        <v>12</v>
      </c>
      <c r="G78" t="s">
        <v>1602</v>
      </c>
    </row>
    <row r="79" spans="1:7" x14ac:dyDescent="0.55000000000000004">
      <c r="A79" s="1">
        <v>39525</v>
      </c>
      <c r="B79">
        <v>2008</v>
      </c>
      <c r="C79">
        <v>3</v>
      </c>
      <c r="D79" t="s">
        <v>1604</v>
      </c>
      <c r="E79" t="s">
        <v>1595</v>
      </c>
      <c r="F79">
        <v>12</v>
      </c>
      <c r="G79" t="s">
        <v>1596</v>
      </c>
    </row>
    <row r="80" spans="1:7" x14ac:dyDescent="0.55000000000000004">
      <c r="A80" s="1">
        <v>39526</v>
      </c>
      <c r="B80">
        <v>2008</v>
      </c>
      <c r="C80">
        <v>3</v>
      </c>
      <c r="D80" t="s">
        <v>1604</v>
      </c>
      <c r="E80" t="s">
        <v>1595</v>
      </c>
      <c r="F80">
        <v>12</v>
      </c>
      <c r="G80" t="s">
        <v>1597</v>
      </c>
    </row>
    <row r="81" spans="1:7" x14ac:dyDescent="0.55000000000000004">
      <c r="A81" s="1">
        <v>39527</v>
      </c>
      <c r="B81">
        <v>2008</v>
      </c>
      <c r="C81">
        <v>3</v>
      </c>
      <c r="D81" t="s">
        <v>1604</v>
      </c>
      <c r="E81" t="s">
        <v>1595</v>
      </c>
      <c r="F81">
        <v>12</v>
      </c>
      <c r="G81" t="s">
        <v>1598</v>
      </c>
    </row>
    <row r="82" spans="1:7" x14ac:dyDescent="0.55000000000000004">
      <c r="A82" s="1">
        <v>39528</v>
      </c>
      <c r="B82">
        <v>2008</v>
      </c>
      <c r="C82">
        <v>3</v>
      </c>
      <c r="D82" t="s">
        <v>1604</v>
      </c>
      <c r="E82" t="s">
        <v>1595</v>
      </c>
      <c r="F82">
        <v>12</v>
      </c>
      <c r="G82" t="s">
        <v>1599</v>
      </c>
    </row>
    <row r="83" spans="1:7" x14ac:dyDescent="0.55000000000000004">
      <c r="A83" s="1">
        <v>39529</v>
      </c>
      <c r="B83">
        <v>2008</v>
      </c>
      <c r="C83">
        <v>3</v>
      </c>
      <c r="D83" t="s">
        <v>1604</v>
      </c>
      <c r="E83" t="s">
        <v>1595</v>
      </c>
      <c r="F83">
        <v>12</v>
      </c>
      <c r="G83" t="s">
        <v>1600</v>
      </c>
    </row>
    <row r="84" spans="1:7" x14ac:dyDescent="0.55000000000000004">
      <c r="A84" s="1">
        <v>39530</v>
      </c>
      <c r="B84">
        <v>2008</v>
      </c>
      <c r="C84">
        <v>3</v>
      </c>
      <c r="D84" t="s">
        <v>1604</v>
      </c>
      <c r="E84" t="s">
        <v>1595</v>
      </c>
      <c r="F84">
        <v>13</v>
      </c>
      <c r="G84" t="s">
        <v>1601</v>
      </c>
    </row>
    <row r="85" spans="1:7" x14ac:dyDescent="0.55000000000000004">
      <c r="A85" s="1">
        <v>39531</v>
      </c>
      <c r="B85">
        <v>2008</v>
      </c>
      <c r="C85">
        <v>3</v>
      </c>
      <c r="D85" t="s">
        <v>1604</v>
      </c>
      <c r="E85" t="s">
        <v>1595</v>
      </c>
      <c r="F85">
        <v>13</v>
      </c>
      <c r="G85" t="s">
        <v>1602</v>
      </c>
    </row>
    <row r="86" spans="1:7" x14ac:dyDescent="0.55000000000000004">
      <c r="A86" s="1">
        <v>39532</v>
      </c>
      <c r="B86">
        <v>2008</v>
      </c>
      <c r="C86">
        <v>3</v>
      </c>
      <c r="D86" t="s">
        <v>1604</v>
      </c>
      <c r="E86" t="s">
        <v>1595</v>
      </c>
      <c r="F86">
        <v>13</v>
      </c>
      <c r="G86" t="s">
        <v>1596</v>
      </c>
    </row>
    <row r="87" spans="1:7" x14ac:dyDescent="0.55000000000000004">
      <c r="A87" s="1">
        <v>39533</v>
      </c>
      <c r="B87">
        <v>2008</v>
      </c>
      <c r="C87">
        <v>3</v>
      </c>
      <c r="D87" t="s">
        <v>1604</v>
      </c>
      <c r="E87" t="s">
        <v>1595</v>
      </c>
      <c r="F87">
        <v>13</v>
      </c>
      <c r="G87" t="s">
        <v>1597</v>
      </c>
    </row>
    <row r="88" spans="1:7" x14ac:dyDescent="0.55000000000000004">
      <c r="A88" s="1">
        <v>39534</v>
      </c>
      <c r="B88">
        <v>2008</v>
      </c>
      <c r="C88">
        <v>3</v>
      </c>
      <c r="D88" t="s">
        <v>1604</v>
      </c>
      <c r="E88" t="s">
        <v>1595</v>
      </c>
      <c r="F88">
        <v>13</v>
      </c>
      <c r="G88" t="s">
        <v>1598</v>
      </c>
    </row>
    <row r="89" spans="1:7" x14ac:dyDescent="0.55000000000000004">
      <c r="A89" s="1">
        <v>39535</v>
      </c>
      <c r="B89">
        <v>2008</v>
      </c>
      <c r="C89">
        <v>3</v>
      </c>
      <c r="D89" t="s">
        <v>1604</v>
      </c>
      <c r="E89" t="s">
        <v>1595</v>
      </c>
      <c r="F89">
        <v>13</v>
      </c>
      <c r="G89" t="s">
        <v>1599</v>
      </c>
    </row>
    <row r="90" spans="1:7" x14ac:dyDescent="0.55000000000000004">
      <c r="A90" s="1">
        <v>39536</v>
      </c>
      <c r="B90">
        <v>2008</v>
      </c>
      <c r="C90">
        <v>3</v>
      </c>
      <c r="D90" t="s">
        <v>1604</v>
      </c>
      <c r="E90" t="s">
        <v>1595</v>
      </c>
      <c r="F90">
        <v>13</v>
      </c>
      <c r="G90" t="s">
        <v>1600</v>
      </c>
    </row>
    <row r="91" spans="1:7" x14ac:dyDescent="0.55000000000000004">
      <c r="A91" s="1">
        <v>39537</v>
      </c>
      <c r="B91">
        <v>2008</v>
      </c>
      <c r="C91">
        <v>3</v>
      </c>
      <c r="D91" t="s">
        <v>1604</v>
      </c>
      <c r="E91" t="s">
        <v>1595</v>
      </c>
      <c r="F91">
        <v>14</v>
      </c>
      <c r="G91" t="s">
        <v>1601</v>
      </c>
    </row>
    <row r="92" spans="1:7" x14ac:dyDescent="0.55000000000000004">
      <c r="A92" s="1">
        <v>39538</v>
      </c>
      <c r="B92">
        <v>2008</v>
      </c>
      <c r="C92">
        <v>3</v>
      </c>
      <c r="D92" t="s">
        <v>1604</v>
      </c>
      <c r="E92" t="s">
        <v>1595</v>
      </c>
      <c r="F92">
        <v>14</v>
      </c>
      <c r="G92" t="s">
        <v>1602</v>
      </c>
    </row>
    <row r="93" spans="1:7" x14ac:dyDescent="0.55000000000000004">
      <c r="A93" s="1">
        <v>39539</v>
      </c>
      <c r="B93">
        <v>2008</v>
      </c>
      <c r="C93">
        <v>4</v>
      </c>
      <c r="D93" t="s">
        <v>1605</v>
      </c>
      <c r="E93" t="s">
        <v>1606</v>
      </c>
      <c r="F93">
        <v>14</v>
      </c>
      <c r="G93" t="s">
        <v>1596</v>
      </c>
    </row>
    <row r="94" spans="1:7" x14ac:dyDescent="0.55000000000000004">
      <c r="A94" s="1">
        <v>39540</v>
      </c>
      <c r="B94">
        <v>2008</v>
      </c>
      <c r="C94">
        <v>4</v>
      </c>
      <c r="D94" t="s">
        <v>1605</v>
      </c>
      <c r="E94" t="s">
        <v>1606</v>
      </c>
      <c r="F94">
        <v>14</v>
      </c>
      <c r="G94" t="s">
        <v>1597</v>
      </c>
    </row>
    <row r="95" spans="1:7" x14ac:dyDescent="0.55000000000000004">
      <c r="A95" s="1">
        <v>39541</v>
      </c>
      <c r="B95">
        <v>2008</v>
      </c>
      <c r="C95">
        <v>4</v>
      </c>
      <c r="D95" t="s">
        <v>1605</v>
      </c>
      <c r="E95" t="s">
        <v>1606</v>
      </c>
      <c r="F95">
        <v>14</v>
      </c>
      <c r="G95" t="s">
        <v>1598</v>
      </c>
    </row>
    <row r="96" spans="1:7" x14ac:dyDescent="0.55000000000000004">
      <c r="A96" s="1">
        <v>39542</v>
      </c>
      <c r="B96">
        <v>2008</v>
      </c>
      <c r="C96">
        <v>4</v>
      </c>
      <c r="D96" t="s">
        <v>1605</v>
      </c>
      <c r="E96" t="s">
        <v>1606</v>
      </c>
      <c r="F96">
        <v>14</v>
      </c>
      <c r="G96" t="s">
        <v>1599</v>
      </c>
    </row>
    <row r="97" spans="1:7" x14ac:dyDescent="0.55000000000000004">
      <c r="A97" s="1">
        <v>39543</v>
      </c>
      <c r="B97">
        <v>2008</v>
      </c>
      <c r="C97">
        <v>4</v>
      </c>
      <c r="D97" t="s">
        <v>1605</v>
      </c>
      <c r="E97" t="s">
        <v>1606</v>
      </c>
      <c r="F97">
        <v>14</v>
      </c>
      <c r="G97" t="s">
        <v>1600</v>
      </c>
    </row>
    <row r="98" spans="1:7" x14ac:dyDescent="0.55000000000000004">
      <c r="A98" s="1">
        <v>39544</v>
      </c>
      <c r="B98">
        <v>2008</v>
      </c>
      <c r="C98">
        <v>4</v>
      </c>
      <c r="D98" t="s">
        <v>1605</v>
      </c>
      <c r="E98" t="s">
        <v>1606</v>
      </c>
      <c r="F98">
        <v>15</v>
      </c>
      <c r="G98" t="s">
        <v>1601</v>
      </c>
    </row>
    <row r="99" spans="1:7" x14ac:dyDescent="0.55000000000000004">
      <c r="A99" s="1">
        <v>39545</v>
      </c>
      <c r="B99">
        <v>2008</v>
      </c>
      <c r="C99">
        <v>4</v>
      </c>
      <c r="D99" t="s">
        <v>1605</v>
      </c>
      <c r="E99" t="s">
        <v>1606</v>
      </c>
      <c r="F99">
        <v>15</v>
      </c>
      <c r="G99" t="s">
        <v>1602</v>
      </c>
    </row>
    <row r="100" spans="1:7" x14ac:dyDescent="0.55000000000000004">
      <c r="A100" s="1">
        <v>39546</v>
      </c>
      <c r="B100">
        <v>2008</v>
      </c>
      <c r="C100">
        <v>4</v>
      </c>
      <c r="D100" t="s">
        <v>1605</v>
      </c>
      <c r="E100" t="s">
        <v>1606</v>
      </c>
      <c r="F100">
        <v>15</v>
      </c>
      <c r="G100" t="s">
        <v>1596</v>
      </c>
    </row>
    <row r="101" spans="1:7" x14ac:dyDescent="0.55000000000000004">
      <c r="A101" s="1">
        <v>39547</v>
      </c>
      <c r="B101">
        <v>2008</v>
      </c>
      <c r="C101">
        <v>4</v>
      </c>
      <c r="D101" t="s">
        <v>1605</v>
      </c>
      <c r="E101" t="s">
        <v>1606</v>
      </c>
      <c r="F101">
        <v>15</v>
      </c>
      <c r="G101" t="s">
        <v>1597</v>
      </c>
    </row>
    <row r="102" spans="1:7" x14ac:dyDescent="0.55000000000000004">
      <c r="A102" s="1">
        <v>39548</v>
      </c>
      <c r="B102">
        <v>2008</v>
      </c>
      <c r="C102">
        <v>4</v>
      </c>
      <c r="D102" t="s">
        <v>1605</v>
      </c>
      <c r="E102" t="s">
        <v>1606</v>
      </c>
      <c r="F102">
        <v>15</v>
      </c>
      <c r="G102" t="s">
        <v>1598</v>
      </c>
    </row>
    <row r="103" spans="1:7" x14ac:dyDescent="0.55000000000000004">
      <c r="A103" s="1">
        <v>39549</v>
      </c>
      <c r="B103">
        <v>2008</v>
      </c>
      <c r="C103">
        <v>4</v>
      </c>
      <c r="D103" t="s">
        <v>1605</v>
      </c>
      <c r="E103" t="s">
        <v>1606</v>
      </c>
      <c r="F103">
        <v>15</v>
      </c>
      <c r="G103" t="s">
        <v>1599</v>
      </c>
    </row>
    <row r="104" spans="1:7" x14ac:dyDescent="0.55000000000000004">
      <c r="A104" s="1">
        <v>39550</v>
      </c>
      <c r="B104">
        <v>2008</v>
      </c>
      <c r="C104">
        <v>4</v>
      </c>
      <c r="D104" t="s">
        <v>1605</v>
      </c>
      <c r="E104" t="s">
        <v>1606</v>
      </c>
      <c r="F104">
        <v>15</v>
      </c>
      <c r="G104" t="s">
        <v>1600</v>
      </c>
    </row>
    <row r="105" spans="1:7" x14ac:dyDescent="0.55000000000000004">
      <c r="A105" s="1">
        <v>39551</v>
      </c>
      <c r="B105">
        <v>2008</v>
      </c>
      <c r="C105">
        <v>4</v>
      </c>
      <c r="D105" t="s">
        <v>1605</v>
      </c>
      <c r="E105" t="s">
        <v>1606</v>
      </c>
      <c r="F105">
        <v>16</v>
      </c>
      <c r="G105" t="s">
        <v>1601</v>
      </c>
    </row>
    <row r="106" spans="1:7" x14ac:dyDescent="0.55000000000000004">
      <c r="A106" s="1">
        <v>39552</v>
      </c>
      <c r="B106">
        <v>2008</v>
      </c>
      <c r="C106">
        <v>4</v>
      </c>
      <c r="D106" t="s">
        <v>1605</v>
      </c>
      <c r="E106" t="s">
        <v>1606</v>
      </c>
      <c r="F106">
        <v>16</v>
      </c>
      <c r="G106" t="s">
        <v>1602</v>
      </c>
    </row>
    <row r="107" spans="1:7" x14ac:dyDescent="0.55000000000000004">
      <c r="A107" s="1">
        <v>39553</v>
      </c>
      <c r="B107">
        <v>2008</v>
      </c>
      <c r="C107">
        <v>4</v>
      </c>
      <c r="D107" t="s">
        <v>1605</v>
      </c>
      <c r="E107" t="s">
        <v>1606</v>
      </c>
      <c r="F107">
        <v>16</v>
      </c>
      <c r="G107" t="s">
        <v>1596</v>
      </c>
    </row>
    <row r="108" spans="1:7" x14ac:dyDescent="0.55000000000000004">
      <c r="A108" s="1">
        <v>39554</v>
      </c>
      <c r="B108">
        <v>2008</v>
      </c>
      <c r="C108">
        <v>4</v>
      </c>
      <c r="D108" t="s">
        <v>1605</v>
      </c>
      <c r="E108" t="s">
        <v>1606</v>
      </c>
      <c r="F108">
        <v>16</v>
      </c>
      <c r="G108" t="s">
        <v>1597</v>
      </c>
    </row>
    <row r="109" spans="1:7" x14ac:dyDescent="0.55000000000000004">
      <c r="A109" s="1">
        <v>39555</v>
      </c>
      <c r="B109">
        <v>2008</v>
      </c>
      <c r="C109">
        <v>4</v>
      </c>
      <c r="D109" t="s">
        <v>1605</v>
      </c>
      <c r="E109" t="s">
        <v>1606</v>
      </c>
      <c r="F109">
        <v>16</v>
      </c>
      <c r="G109" t="s">
        <v>1598</v>
      </c>
    </row>
    <row r="110" spans="1:7" x14ac:dyDescent="0.55000000000000004">
      <c r="A110" s="1">
        <v>39556</v>
      </c>
      <c r="B110">
        <v>2008</v>
      </c>
      <c r="C110">
        <v>4</v>
      </c>
      <c r="D110" t="s">
        <v>1605</v>
      </c>
      <c r="E110" t="s">
        <v>1606</v>
      </c>
      <c r="F110">
        <v>16</v>
      </c>
      <c r="G110" t="s">
        <v>1599</v>
      </c>
    </row>
    <row r="111" spans="1:7" x14ac:dyDescent="0.55000000000000004">
      <c r="A111" s="1">
        <v>39557</v>
      </c>
      <c r="B111">
        <v>2008</v>
      </c>
      <c r="C111">
        <v>4</v>
      </c>
      <c r="D111" t="s">
        <v>1605</v>
      </c>
      <c r="E111" t="s">
        <v>1606</v>
      </c>
      <c r="F111">
        <v>16</v>
      </c>
      <c r="G111" t="s">
        <v>1600</v>
      </c>
    </row>
    <row r="112" spans="1:7" x14ac:dyDescent="0.55000000000000004">
      <c r="A112" s="1">
        <v>39558</v>
      </c>
      <c r="B112">
        <v>2008</v>
      </c>
      <c r="C112">
        <v>4</v>
      </c>
      <c r="D112" t="s">
        <v>1605</v>
      </c>
      <c r="E112" t="s">
        <v>1606</v>
      </c>
      <c r="F112">
        <v>17</v>
      </c>
      <c r="G112" t="s">
        <v>1601</v>
      </c>
    </row>
    <row r="113" spans="1:7" x14ac:dyDescent="0.55000000000000004">
      <c r="A113" s="1">
        <v>39559</v>
      </c>
      <c r="B113">
        <v>2008</v>
      </c>
      <c r="C113">
        <v>4</v>
      </c>
      <c r="D113" t="s">
        <v>1605</v>
      </c>
      <c r="E113" t="s">
        <v>1606</v>
      </c>
      <c r="F113">
        <v>17</v>
      </c>
      <c r="G113" t="s">
        <v>1602</v>
      </c>
    </row>
    <row r="114" spans="1:7" x14ac:dyDescent="0.55000000000000004">
      <c r="A114" s="1">
        <v>39560</v>
      </c>
      <c r="B114">
        <v>2008</v>
      </c>
      <c r="C114">
        <v>4</v>
      </c>
      <c r="D114" t="s">
        <v>1605</v>
      </c>
      <c r="E114" t="s">
        <v>1606</v>
      </c>
      <c r="F114">
        <v>17</v>
      </c>
      <c r="G114" t="s">
        <v>1596</v>
      </c>
    </row>
    <row r="115" spans="1:7" x14ac:dyDescent="0.55000000000000004">
      <c r="A115" s="1">
        <v>39561</v>
      </c>
      <c r="B115">
        <v>2008</v>
      </c>
      <c r="C115">
        <v>4</v>
      </c>
      <c r="D115" t="s">
        <v>1605</v>
      </c>
      <c r="E115" t="s">
        <v>1606</v>
      </c>
      <c r="F115">
        <v>17</v>
      </c>
      <c r="G115" t="s">
        <v>1597</v>
      </c>
    </row>
    <row r="116" spans="1:7" x14ac:dyDescent="0.55000000000000004">
      <c r="A116" s="1">
        <v>39562</v>
      </c>
      <c r="B116">
        <v>2008</v>
      </c>
      <c r="C116">
        <v>4</v>
      </c>
      <c r="D116" t="s">
        <v>1605</v>
      </c>
      <c r="E116" t="s">
        <v>1606</v>
      </c>
      <c r="F116">
        <v>17</v>
      </c>
      <c r="G116" t="s">
        <v>1598</v>
      </c>
    </row>
    <row r="117" spans="1:7" x14ac:dyDescent="0.55000000000000004">
      <c r="A117" s="1">
        <v>39563</v>
      </c>
      <c r="B117">
        <v>2008</v>
      </c>
      <c r="C117">
        <v>4</v>
      </c>
      <c r="D117" t="s">
        <v>1605</v>
      </c>
      <c r="E117" t="s">
        <v>1606</v>
      </c>
      <c r="F117">
        <v>17</v>
      </c>
      <c r="G117" t="s">
        <v>1599</v>
      </c>
    </row>
    <row r="118" spans="1:7" x14ac:dyDescent="0.55000000000000004">
      <c r="A118" s="1">
        <v>39564</v>
      </c>
      <c r="B118">
        <v>2008</v>
      </c>
      <c r="C118">
        <v>4</v>
      </c>
      <c r="D118" t="s">
        <v>1605</v>
      </c>
      <c r="E118" t="s">
        <v>1606</v>
      </c>
      <c r="F118">
        <v>17</v>
      </c>
      <c r="G118" t="s">
        <v>1600</v>
      </c>
    </row>
    <row r="119" spans="1:7" x14ac:dyDescent="0.55000000000000004">
      <c r="A119" s="1">
        <v>39565</v>
      </c>
      <c r="B119">
        <v>2008</v>
      </c>
      <c r="C119">
        <v>4</v>
      </c>
      <c r="D119" t="s">
        <v>1605</v>
      </c>
      <c r="E119" t="s">
        <v>1606</v>
      </c>
      <c r="F119">
        <v>18</v>
      </c>
      <c r="G119" t="s">
        <v>1601</v>
      </c>
    </row>
    <row r="120" spans="1:7" x14ac:dyDescent="0.55000000000000004">
      <c r="A120" s="1">
        <v>39566</v>
      </c>
      <c r="B120">
        <v>2008</v>
      </c>
      <c r="C120">
        <v>4</v>
      </c>
      <c r="D120" t="s">
        <v>1605</v>
      </c>
      <c r="E120" t="s">
        <v>1606</v>
      </c>
      <c r="F120">
        <v>18</v>
      </c>
      <c r="G120" t="s">
        <v>1602</v>
      </c>
    </row>
    <row r="121" spans="1:7" x14ac:dyDescent="0.55000000000000004">
      <c r="A121" s="1">
        <v>39567</v>
      </c>
      <c r="B121">
        <v>2008</v>
      </c>
      <c r="C121">
        <v>4</v>
      </c>
      <c r="D121" t="s">
        <v>1605</v>
      </c>
      <c r="E121" t="s">
        <v>1606</v>
      </c>
      <c r="F121">
        <v>18</v>
      </c>
      <c r="G121" t="s">
        <v>1596</v>
      </c>
    </row>
    <row r="122" spans="1:7" x14ac:dyDescent="0.55000000000000004">
      <c r="A122" s="1">
        <v>39568</v>
      </c>
      <c r="B122">
        <v>2008</v>
      </c>
      <c r="C122">
        <v>4</v>
      </c>
      <c r="D122" t="s">
        <v>1605</v>
      </c>
      <c r="E122" t="s">
        <v>1606</v>
      </c>
      <c r="F122">
        <v>18</v>
      </c>
      <c r="G122" t="s">
        <v>1597</v>
      </c>
    </row>
    <row r="123" spans="1:7" x14ac:dyDescent="0.55000000000000004">
      <c r="A123" s="1">
        <v>39569</v>
      </c>
      <c r="B123">
        <v>2008</v>
      </c>
      <c r="C123">
        <v>5</v>
      </c>
      <c r="D123" t="s">
        <v>1607</v>
      </c>
      <c r="E123" t="s">
        <v>1606</v>
      </c>
      <c r="F123">
        <v>18</v>
      </c>
      <c r="G123" t="s">
        <v>1598</v>
      </c>
    </row>
    <row r="124" spans="1:7" x14ac:dyDescent="0.55000000000000004">
      <c r="A124" s="1">
        <v>39570</v>
      </c>
      <c r="B124">
        <v>2008</v>
      </c>
      <c r="C124">
        <v>5</v>
      </c>
      <c r="D124" t="s">
        <v>1607</v>
      </c>
      <c r="E124" t="s">
        <v>1606</v>
      </c>
      <c r="F124">
        <v>18</v>
      </c>
      <c r="G124" t="s">
        <v>1599</v>
      </c>
    </row>
    <row r="125" spans="1:7" x14ac:dyDescent="0.55000000000000004">
      <c r="A125" s="1">
        <v>39571</v>
      </c>
      <c r="B125">
        <v>2008</v>
      </c>
      <c r="C125">
        <v>5</v>
      </c>
      <c r="D125" t="s">
        <v>1607</v>
      </c>
      <c r="E125" t="s">
        <v>1606</v>
      </c>
      <c r="F125">
        <v>18</v>
      </c>
      <c r="G125" t="s">
        <v>1600</v>
      </c>
    </row>
    <row r="126" spans="1:7" x14ac:dyDescent="0.55000000000000004">
      <c r="A126" s="1">
        <v>39572</v>
      </c>
      <c r="B126">
        <v>2008</v>
      </c>
      <c r="C126">
        <v>5</v>
      </c>
      <c r="D126" t="s">
        <v>1607</v>
      </c>
      <c r="E126" t="s">
        <v>1606</v>
      </c>
      <c r="F126">
        <v>19</v>
      </c>
      <c r="G126" t="s">
        <v>1601</v>
      </c>
    </row>
    <row r="127" spans="1:7" x14ac:dyDescent="0.55000000000000004">
      <c r="A127" s="1">
        <v>39573</v>
      </c>
      <c r="B127">
        <v>2008</v>
      </c>
      <c r="C127">
        <v>5</v>
      </c>
      <c r="D127" t="s">
        <v>1607</v>
      </c>
      <c r="E127" t="s">
        <v>1606</v>
      </c>
      <c r="F127">
        <v>19</v>
      </c>
      <c r="G127" t="s">
        <v>1602</v>
      </c>
    </row>
    <row r="128" spans="1:7" x14ac:dyDescent="0.55000000000000004">
      <c r="A128" s="1">
        <v>39574</v>
      </c>
      <c r="B128">
        <v>2008</v>
      </c>
      <c r="C128">
        <v>5</v>
      </c>
      <c r="D128" t="s">
        <v>1607</v>
      </c>
      <c r="E128" t="s">
        <v>1606</v>
      </c>
      <c r="F128">
        <v>19</v>
      </c>
      <c r="G128" t="s">
        <v>1596</v>
      </c>
    </row>
    <row r="129" spans="1:7" x14ac:dyDescent="0.55000000000000004">
      <c r="A129" s="1">
        <v>39575</v>
      </c>
      <c r="B129">
        <v>2008</v>
      </c>
      <c r="C129">
        <v>5</v>
      </c>
      <c r="D129" t="s">
        <v>1607</v>
      </c>
      <c r="E129" t="s">
        <v>1606</v>
      </c>
      <c r="F129">
        <v>19</v>
      </c>
      <c r="G129" t="s">
        <v>1597</v>
      </c>
    </row>
    <row r="130" spans="1:7" x14ac:dyDescent="0.55000000000000004">
      <c r="A130" s="1">
        <v>39576</v>
      </c>
      <c r="B130">
        <v>2008</v>
      </c>
      <c r="C130">
        <v>5</v>
      </c>
      <c r="D130" t="s">
        <v>1607</v>
      </c>
      <c r="E130" t="s">
        <v>1606</v>
      </c>
      <c r="F130">
        <v>19</v>
      </c>
      <c r="G130" t="s">
        <v>1598</v>
      </c>
    </row>
    <row r="131" spans="1:7" x14ac:dyDescent="0.55000000000000004">
      <c r="A131" s="1">
        <v>39577</v>
      </c>
      <c r="B131">
        <v>2008</v>
      </c>
      <c r="C131">
        <v>5</v>
      </c>
      <c r="D131" t="s">
        <v>1607</v>
      </c>
      <c r="E131" t="s">
        <v>1606</v>
      </c>
      <c r="F131">
        <v>19</v>
      </c>
      <c r="G131" t="s">
        <v>1599</v>
      </c>
    </row>
    <row r="132" spans="1:7" x14ac:dyDescent="0.55000000000000004">
      <c r="A132" s="1">
        <v>39578</v>
      </c>
      <c r="B132">
        <v>2008</v>
      </c>
      <c r="C132">
        <v>5</v>
      </c>
      <c r="D132" t="s">
        <v>1607</v>
      </c>
      <c r="E132" t="s">
        <v>1606</v>
      </c>
      <c r="F132">
        <v>19</v>
      </c>
      <c r="G132" t="s">
        <v>1600</v>
      </c>
    </row>
    <row r="133" spans="1:7" x14ac:dyDescent="0.55000000000000004">
      <c r="A133" s="1">
        <v>39579</v>
      </c>
      <c r="B133">
        <v>2008</v>
      </c>
      <c r="C133">
        <v>5</v>
      </c>
      <c r="D133" t="s">
        <v>1607</v>
      </c>
      <c r="E133" t="s">
        <v>1606</v>
      </c>
      <c r="F133">
        <v>20</v>
      </c>
      <c r="G133" t="s">
        <v>1601</v>
      </c>
    </row>
    <row r="134" spans="1:7" x14ac:dyDescent="0.55000000000000004">
      <c r="A134" s="1">
        <v>39580</v>
      </c>
      <c r="B134">
        <v>2008</v>
      </c>
      <c r="C134">
        <v>5</v>
      </c>
      <c r="D134" t="s">
        <v>1607</v>
      </c>
      <c r="E134" t="s">
        <v>1606</v>
      </c>
      <c r="F134">
        <v>20</v>
      </c>
      <c r="G134" t="s">
        <v>1602</v>
      </c>
    </row>
    <row r="135" spans="1:7" x14ac:dyDescent="0.55000000000000004">
      <c r="A135" s="1">
        <v>39581</v>
      </c>
      <c r="B135">
        <v>2008</v>
      </c>
      <c r="C135">
        <v>5</v>
      </c>
      <c r="D135" t="s">
        <v>1607</v>
      </c>
      <c r="E135" t="s">
        <v>1606</v>
      </c>
      <c r="F135">
        <v>20</v>
      </c>
      <c r="G135" t="s">
        <v>1596</v>
      </c>
    </row>
    <row r="136" spans="1:7" x14ac:dyDescent="0.55000000000000004">
      <c r="A136" s="1">
        <v>39582</v>
      </c>
      <c r="B136">
        <v>2008</v>
      </c>
      <c r="C136">
        <v>5</v>
      </c>
      <c r="D136" t="s">
        <v>1607</v>
      </c>
      <c r="E136" t="s">
        <v>1606</v>
      </c>
      <c r="F136">
        <v>20</v>
      </c>
      <c r="G136" t="s">
        <v>1597</v>
      </c>
    </row>
    <row r="137" spans="1:7" x14ac:dyDescent="0.55000000000000004">
      <c r="A137" s="1">
        <v>39583</v>
      </c>
      <c r="B137">
        <v>2008</v>
      </c>
      <c r="C137">
        <v>5</v>
      </c>
      <c r="D137" t="s">
        <v>1607</v>
      </c>
      <c r="E137" t="s">
        <v>1606</v>
      </c>
      <c r="F137">
        <v>20</v>
      </c>
      <c r="G137" t="s">
        <v>1598</v>
      </c>
    </row>
    <row r="138" spans="1:7" x14ac:dyDescent="0.55000000000000004">
      <c r="A138" s="1">
        <v>39584</v>
      </c>
      <c r="B138">
        <v>2008</v>
      </c>
      <c r="C138">
        <v>5</v>
      </c>
      <c r="D138" t="s">
        <v>1607</v>
      </c>
      <c r="E138" t="s">
        <v>1606</v>
      </c>
      <c r="F138">
        <v>20</v>
      </c>
      <c r="G138" t="s">
        <v>1599</v>
      </c>
    </row>
    <row r="139" spans="1:7" x14ac:dyDescent="0.55000000000000004">
      <c r="A139" s="1">
        <v>39585</v>
      </c>
      <c r="B139">
        <v>2008</v>
      </c>
      <c r="C139">
        <v>5</v>
      </c>
      <c r="D139" t="s">
        <v>1607</v>
      </c>
      <c r="E139" t="s">
        <v>1606</v>
      </c>
      <c r="F139">
        <v>20</v>
      </c>
      <c r="G139" t="s">
        <v>1600</v>
      </c>
    </row>
    <row r="140" spans="1:7" x14ac:dyDescent="0.55000000000000004">
      <c r="A140" s="1">
        <v>39586</v>
      </c>
      <c r="B140">
        <v>2008</v>
      </c>
      <c r="C140">
        <v>5</v>
      </c>
      <c r="D140" t="s">
        <v>1607</v>
      </c>
      <c r="E140" t="s">
        <v>1606</v>
      </c>
      <c r="F140">
        <v>21</v>
      </c>
      <c r="G140" t="s">
        <v>1601</v>
      </c>
    </row>
    <row r="141" spans="1:7" x14ac:dyDescent="0.55000000000000004">
      <c r="A141" s="1">
        <v>39587</v>
      </c>
      <c r="B141">
        <v>2008</v>
      </c>
      <c r="C141">
        <v>5</v>
      </c>
      <c r="D141" t="s">
        <v>1607</v>
      </c>
      <c r="E141" t="s">
        <v>1606</v>
      </c>
      <c r="F141">
        <v>21</v>
      </c>
      <c r="G141" t="s">
        <v>1602</v>
      </c>
    </row>
    <row r="142" spans="1:7" x14ac:dyDescent="0.55000000000000004">
      <c r="A142" s="1">
        <v>39588</v>
      </c>
      <c r="B142">
        <v>2008</v>
      </c>
      <c r="C142">
        <v>5</v>
      </c>
      <c r="D142" t="s">
        <v>1607</v>
      </c>
      <c r="E142" t="s">
        <v>1606</v>
      </c>
      <c r="F142">
        <v>21</v>
      </c>
      <c r="G142" t="s">
        <v>1596</v>
      </c>
    </row>
    <row r="143" spans="1:7" x14ac:dyDescent="0.55000000000000004">
      <c r="A143" s="1">
        <v>39589</v>
      </c>
      <c r="B143">
        <v>2008</v>
      </c>
      <c r="C143">
        <v>5</v>
      </c>
      <c r="D143" t="s">
        <v>1607</v>
      </c>
      <c r="E143" t="s">
        <v>1606</v>
      </c>
      <c r="F143">
        <v>21</v>
      </c>
      <c r="G143" t="s">
        <v>1597</v>
      </c>
    </row>
    <row r="144" spans="1:7" x14ac:dyDescent="0.55000000000000004">
      <c r="A144" s="1">
        <v>39590</v>
      </c>
      <c r="B144">
        <v>2008</v>
      </c>
      <c r="C144">
        <v>5</v>
      </c>
      <c r="D144" t="s">
        <v>1607</v>
      </c>
      <c r="E144" t="s">
        <v>1606</v>
      </c>
      <c r="F144">
        <v>21</v>
      </c>
      <c r="G144" t="s">
        <v>1598</v>
      </c>
    </row>
    <row r="145" spans="1:7" x14ac:dyDescent="0.55000000000000004">
      <c r="A145" s="1">
        <v>39591</v>
      </c>
      <c r="B145">
        <v>2008</v>
      </c>
      <c r="C145">
        <v>5</v>
      </c>
      <c r="D145" t="s">
        <v>1607</v>
      </c>
      <c r="E145" t="s">
        <v>1606</v>
      </c>
      <c r="F145">
        <v>21</v>
      </c>
      <c r="G145" t="s">
        <v>1599</v>
      </c>
    </row>
    <row r="146" spans="1:7" x14ac:dyDescent="0.55000000000000004">
      <c r="A146" s="1">
        <v>39592</v>
      </c>
      <c r="B146">
        <v>2008</v>
      </c>
      <c r="C146">
        <v>5</v>
      </c>
      <c r="D146" t="s">
        <v>1607</v>
      </c>
      <c r="E146" t="s">
        <v>1606</v>
      </c>
      <c r="F146">
        <v>21</v>
      </c>
      <c r="G146" t="s">
        <v>1600</v>
      </c>
    </row>
    <row r="147" spans="1:7" x14ac:dyDescent="0.55000000000000004">
      <c r="A147" s="1">
        <v>39593</v>
      </c>
      <c r="B147">
        <v>2008</v>
      </c>
      <c r="C147">
        <v>5</v>
      </c>
      <c r="D147" t="s">
        <v>1607</v>
      </c>
      <c r="E147" t="s">
        <v>1606</v>
      </c>
      <c r="F147">
        <v>22</v>
      </c>
      <c r="G147" t="s">
        <v>1601</v>
      </c>
    </row>
    <row r="148" spans="1:7" x14ac:dyDescent="0.55000000000000004">
      <c r="A148" s="1">
        <v>39594</v>
      </c>
      <c r="B148">
        <v>2008</v>
      </c>
      <c r="C148">
        <v>5</v>
      </c>
      <c r="D148" t="s">
        <v>1607</v>
      </c>
      <c r="E148" t="s">
        <v>1606</v>
      </c>
      <c r="F148">
        <v>22</v>
      </c>
      <c r="G148" t="s">
        <v>1602</v>
      </c>
    </row>
    <row r="149" spans="1:7" x14ac:dyDescent="0.55000000000000004">
      <c r="A149" s="1">
        <v>39595</v>
      </c>
      <c r="B149">
        <v>2008</v>
      </c>
      <c r="C149">
        <v>5</v>
      </c>
      <c r="D149" t="s">
        <v>1607</v>
      </c>
      <c r="E149" t="s">
        <v>1606</v>
      </c>
      <c r="F149">
        <v>22</v>
      </c>
      <c r="G149" t="s">
        <v>1596</v>
      </c>
    </row>
    <row r="150" spans="1:7" x14ac:dyDescent="0.55000000000000004">
      <c r="A150" s="1">
        <v>39596</v>
      </c>
      <c r="B150">
        <v>2008</v>
      </c>
      <c r="C150">
        <v>5</v>
      </c>
      <c r="D150" t="s">
        <v>1607</v>
      </c>
      <c r="E150" t="s">
        <v>1606</v>
      </c>
      <c r="F150">
        <v>22</v>
      </c>
      <c r="G150" t="s">
        <v>1597</v>
      </c>
    </row>
    <row r="151" spans="1:7" x14ac:dyDescent="0.55000000000000004">
      <c r="A151" s="1">
        <v>39597</v>
      </c>
      <c r="B151">
        <v>2008</v>
      </c>
      <c r="C151">
        <v>5</v>
      </c>
      <c r="D151" t="s">
        <v>1607</v>
      </c>
      <c r="E151" t="s">
        <v>1606</v>
      </c>
      <c r="F151">
        <v>22</v>
      </c>
      <c r="G151" t="s">
        <v>1598</v>
      </c>
    </row>
    <row r="152" spans="1:7" x14ac:dyDescent="0.55000000000000004">
      <c r="A152" s="1">
        <v>39598</v>
      </c>
      <c r="B152">
        <v>2008</v>
      </c>
      <c r="C152">
        <v>5</v>
      </c>
      <c r="D152" t="s">
        <v>1607</v>
      </c>
      <c r="E152" t="s">
        <v>1606</v>
      </c>
      <c r="F152">
        <v>22</v>
      </c>
      <c r="G152" t="s">
        <v>1599</v>
      </c>
    </row>
    <row r="153" spans="1:7" x14ac:dyDescent="0.55000000000000004">
      <c r="A153" s="1">
        <v>39599</v>
      </c>
      <c r="B153">
        <v>2008</v>
      </c>
      <c r="C153">
        <v>5</v>
      </c>
      <c r="D153" t="s">
        <v>1607</v>
      </c>
      <c r="E153" t="s">
        <v>1606</v>
      </c>
      <c r="F153">
        <v>22</v>
      </c>
      <c r="G153" t="s">
        <v>1600</v>
      </c>
    </row>
    <row r="154" spans="1:7" x14ac:dyDescent="0.55000000000000004">
      <c r="A154" s="1">
        <v>39600</v>
      </c>
      <c r="B154">
        <v>2008</v>
      </c>
      <c r="C154">
        <v>6</v>
      </c>
      <c r="D154" t="s">
        <v>1593</v>
      </c>
      <c r="E154" t="s">
        <v>1606</v>
      </c>
      <c r="F154">
        <v>23</v>
      </c>
      <c r="G154" t="s">
        <v>1601</v>
      </c>
    </row>
    <row r="155" spans="1:7" x14ac:dyDescent="0.55000000000000004">
      <c r="A155" s="1">
        <v>39601</v>
      </c>
      <c r="B155">
        <v>2008</v>
      </c>
      <c r="C155">
        <v>6</v>
      </c>
      <c r="D155" t="s">
        <v>1593</v>
      </c>
      <c r="E155" t="s">
        <v>1606</v>
      </c>
      <c r="F155">
        <v>23</v>
      </c>
      <c r="G155" t="s">
        <v>1602</v>
      </c>
    </row>
    <row r="156" spans="1:7" x14ac:dyDescent="0.55000000000000004">
      <c r="A156" s="1">
        <v>39602</v>
      </c>
      <c r="B156">
        <v>2008</v>
      </c>
      <c r="C156">
        <v>6</v>
      </c>
      <c r="D156" t="s">
        <v>1593</v>
      </c>
      <c r="E156" t="s">
        <v>1606</v>
      </c>
      <c r="F156">
        <v>23</v>
      </c>
      <c r="G156" t="s">
        <v>1596</v>
      </c>
    </row>
    <row r="157" spans="1:7" x14ac:dyDescent="0.55000000000000004">
      <c r="A157" s="1">
        <v>39603</v>
      </c>
      <c r="B157">
        <v>2008</v>
      </c>
      <c r="C157">
        <v>6</v>
      </c>
      <c r="D157" t="s">
        <v>1593</v>
      </c>
      <c r="E157" t="s">
        <v>1606</v>
      </c>
      <c r="F157">
        <v>23</v>
      </c>
      <c r="G157" t="s">
        <v>1597</v>
      </c>
    </row>
    <row r="158" spans="1:7" x14ac:dyDescent="0.55000000000000004">
      <c r="A158" s="1">
        <v>39604</v>
      </c>
      <c r="B158">
        <v>2008</v>
      </c>
      <c r="C158">
        <v>6</v>
      </c>
      <c r="D158" t="s">
        <v>1593</v>
      </c>
      <c r="E158" t="s">
        <v>1606</v>
      </c>
      <c r="F158">
        <v>23</v>
      </c>
      <c r="G158" t="s">
        <v>1598</v>
      </c>
    </row>
    <row r="159" spans="1:7" x14ac:dyDescent="0.55000000000000004">
      <c r="A159" s="1">
        <v>39605</v>
      </c>
      <c r="B159">
        <v>2008</v>
      </c>
      <c r="C159">
        <v>6</v>
      </c>
      <c r="D159" t="s">
        <v>1593</v>
      </c>
      <c r="E159" t="s">
        <v>1606</v>
      </c>
      <c r="F159">
        <v>23</v>
      </c>
      <c r="G159" t="s">
        <v>1599</v>
      </c>
    </row>
    <row r="160" spans="1:7" x14ac:dyDescent="0.55000000000000004">
      <c r="A160" s="1">
        <v>39606</v>
      </c>
      <c r="B160">
        <v>2008</v>
      </c>
      <c r="C160">
        <v>6</v>
      </c>
      <c r="D160" t="s">
        <v>1593</v>
      </c>
      <c r="E160" t="s">
        <v>1606</v>
      </c>
      <c r="F160">
        <v>23</v>
      </c>
      <c r="G160" t="s">
        <v>1600</v>
      </c>
    </row>
    <row r="161" spans="1:7" x14ac:dyDescent="0.55000000000000004">
      <c r="A161" s="1">
        <v>39607</v>
      </c>
      <c r="B161">
        <v>2008</v>
      </c>
      <c r="C161">
        <v>6</v>
      </c>
      <c r="D161" t="s">
        <v>1593</v>
      </c>
      <c r="E161" t="s">
        <v>1606</v>
      </c>
      <c r="F161">
        <v>24</v>
      </c>
      <c r="G161" t="s">
        <v>1601</v>
      </c>
    </row>
    <row r="162" spans="1:7" x14ac:dyDescent="0.55000000000000004">
      <c r="A162" s="1">
        <v>39608</v>
      </c>
      <c r="B162">
        <v>2008</v>
      </c>
      <c r="C162">
        <v>6</v>
      </c>
      <c r="D162" t="s">
        <v>1593</v>
      </c>
      <c r="E162" t="s">
        <v>1606</v>
      </c>
      <c r="F162">
        <v>24</v>
      </c>
      <c r="G162" t="s">
        <v>1602</v>
      </c>
    </row>
    <row r="163" spans="1:7" x14ac:dyDescent="0.55000000000000004">
      <c r="A163" s="1">
        <v>39609</v>
      </c>
      <c r="B163">
        <v>2008</v>
      </c>
      <c r="C163">
        <v>6</v>
      </c>
      <c r="D163" t="s">
        <v>1593</v>
      </c>
      <c r="E163" t="s">
        <v>1606</v>
      </c>
      <c r="F163">
        <v>24</v>
      </c>
      <c r="G163" t="s">
        <v>1596</v>
      </c>
    </row>
    <row r="164" spans="1:7" x14ac:dyDescent="0.55000000000000004">
      <c r="A164" s="1">
        <v>39610</v>
      </c>
      <c r="B164">
        <v>2008</v>
      </c>
      <c r="C164">
        <v>6</v>
      </c>
      <c r="D164" t="s">
        <v>1593</v>
      </c>
      <c r="E164" t="s">
        <v>1606</v>
      </c>
      <c r="F164">
        <v>24</v>
      </c>
      <c r="G164" t="s">
        <v>1597</v>
      </c>
    </row>
    <row r="165" spans="1:7" x14ac:dyDescent="0.55000000000000004">
      <c r="A165" s="1">
        <v>39611</v>
      </c>
      <c r="B165">
        <v>2008</v>
      </c>
      <c r="C165">
        <v>6</v>
      </c>
      <c r="D165" t="s">
        <v>1593</v>
      </c>
      <c r="E165" t="s">
        <v>1606</v>
      </c>
      <c r="F165">
        <v>24</v>
      </c>
      <c r="G165" t="s">
        <v>1598</v>
      </c>
    </row>
    <row r="166" spans="1:7" x14ac:dyDescent="0.55000000000000004">
      <c r="A166" s="1">
        <v>39612</v>
      </c>
      <c r="B166">
        <v>2008</v>
      </c>
      <c r="C166">
        <v>6</v>
      </c>
      <c r="D166" t="s">
        <v>1593</v>
      </c>
      <c r="E166" t="s">
        <v>1606</v>
      </c>
      <c r="F166">
        <v>24</v>
      </c>
      <c r="G166" t="s">
        <v>1599</v>
      </c>
    </row>
    <row r="167" spans="1:7" x14ac:dyDescent="0.55000000000000004">
      <c r="A167" s="1">
        <v>39613</v>
      </c>
      <c r="B167">
        <v>2008</v>
      </c>
      <c r="C167">
        <v>6</v>
      </c>
      <c r="D167" t="s">
        <v>1593</v>
      </c>
      <c r="E167" t="s">
        <v>1606</v>
      </c>
      <c r="F167">
        <v>24</v>
      </c>
      <c r="G167" t="s">
        <v>1600</v>
      </c>
    </row>
    <row r="168" spans="1:7" x14ac:dyDescent="0.55000000000000004">
      <c r="A168" s="1">
        <v>39614</v>
      </c>
      <c r="B168">
        <v>2008</v>
      </c>
      <c r="C168">
        <v>6</v>
      </c>
      <c r="D168" t="s">
        <v>1593</v>
      </c>
      <c r="E168" t="s">
        <v>1606</v>
      </c>
      <c r="F168">
        <v>25</v>
      </c>
      <c r="G168" t="s">
        <v>1601</v>
      </c>
    </row>
    <row r="169" spans="1:7" x14ac:dyDescent="0.55000000000000004">
      <c r="A169" s="1">
        <v>39615</v>
      </c>
      <c r="B169">
        <v>2008</v>
      </c>
      <c r="C169">
        <v>6</v>
      </c>
      <c r="D169" t="s">
        <v>1593</v>
      </c>
      <c r="E169" t="s">
        <v>1606</v>
      </c>
      <c r="F169">
        <v>25</v>
      </c>
      <c r="G169" t="s">
        <v>1602</v>
      </c>
    </row>
    <row r="170" spans="1:7" x14ac:dyDescent="0.55000000000000004">
      <c r="A170" s="1">
        <v>39616</v>
      </c>
      <c r="B170">
        <v>2008</v>
      </c>
      <c r="C170">
        <v>6</v>
      </c>
      <c r="D170" t="s">
        <v>1593</v>
      </c>
      <c r="E170" t="s">
        <v>1606</v>
      </c>
      <c r="F170">
        <v>25</v>
      </c>
      <c r="G170" t="s">
        <v>1596</v>
      </c>
    </row>
    <row r="171" spans="1:7" x14ac:dyDescent="0.55000000000000004">
      <c r="A171" s="1">
        <v>39617</v>
      </c>
      <c r="B171">
        <v>2008</v>
      </c>
      <c r="C171">
        <v>6</v>
      </c>
      <c r="D171" t="s">
        <v>1593</v>
      </c>
      <c r="E171" t="s">
        <v>1606</v>
      </c>
      <c r="F171">
        <v>25</v>
      </c>
      <c r="G171" t="s">
        <v>1597</v>
      </c>
    </row>
    <row r="172" spans="1:7" x14ac:dyDescent="0.55000000000000004">
      <c r="A172" s="1">
        <v>39618</v>
      </c>
      <c r="B172">
        <v>2008</v>
      </c>
      <c r="C172">
        <v>6</v>
      </c>
      <c r="D172" t="s">
        <v>1593</v>
      </c>
      <c r="E172" t="s">
        <v>1606</v>
      </c>
      <c r="F172">
        <v>25</v>
      </c>
      <c r="G172" t="s">
        <v>1598</v>
      </c>
    </row>
    <row r="173" spans="1:7" x14ac:dyDescent="0.55000000000000004">
      <c r="A173" s="1">
        <v>39619</v>
      </c>
      <c r="B173">
        <v>2008</v>
      </c>
      <c r="C173">
        <v>6</v>
      </c>
      <c r="D173" t="s">
        <v>1593</v>
      </c>
      <c r="E173" t="s">
        <v>1606</v>
      </c>
      <c r="F173">
        <v>25</v>
      </c>
      <c r="G173" t="s">
        <v>1599</v>
      </c>
    </row>
    <row r="174" spans="1:7" x14ac:dyDescent="0.55000000000000004">
      <c r="A174" s="1">
        <v>39620</v>
      </c>
      <c r="B174">
        <v>2008</v>
      </c>
      <c r="C174">
        <v>6</v>
      </c>
      <c r="D174" t="s">
        <v>1593</v>
      </c>
      <c r="E174" t="s">
        <v>1606</v>
      </c>
      <c r="F174">
        <v>25</v>
      </c>
      <c r="G174" t="s">
        <v>1600</v>
      </c>
    </row>
    <row r="175" spans="1:7" x14ac:dyDescent="0.55000000000000004">
      <c r="A175" s="1">
        <v>39621</v>
      </c>
      <c r="B175">
        <v>2008</v>
      </c>
      <c r="C175">
        <v>6</v>
      </c>
      <c r="D175" t="s">
        <v>1593</v>
      </c>
      <c r="E175" t="s">
        <v>1606</v>
      </c>
      <c r="F175">
        <v>26</v>
      </c>
      <c r="G175" t="s">
        <v>1601</v>
      </c>
    </row>
    <row r="176" spans="1:7" x14ac:dyDescent="0.55000000000000004">
      <c r="A176" s="1">
        <v>39622</v>
      </c>
      <c r="B176">
        <v>2008</v>
      </c>
      <c r="C176">
        <v>6</v>
      </c>
      <c r="D176" t="s">
        <v>1593</v>
      </c>
      <c r="E176" t="s">
        <v>1606</v>
      </c>
      <c r="F176">
        <v>26</v>
      </c>
      <c r="G176" t="s">
        <v>1602</v>
      </c>
    </row>
    <row r="177" spans="1:7" x14ac:dyDescent="0.55000000000000004">
      <c r="A177" s="1">
        <v>39623</v>
      </c>
      <c r="B177">
        <v>2008</v>
      </c>
      <c r="C177">
        <v>6</v>
      </c>
      <c r="D177" t="s">
        <v>1593</v>
      </c>
      <c r="E177" t="s">
        <v>1606</v>
      </c>
      <c r="F177">
        <v>26</v>
      </c>
      <c r="G177" t="s">
        <v>1596</v>
      </c>
    </row>
    <row r="178" spans="1:7" x14ac:dyDescent="0.55000000000000004">
      <c r="A178" s="1">
        <v>39624</v>
      </c>
      <c r="B178">
        <v>2008</v>
      </c>
      <c r="C178">
        <v>6</v>
      </c>
      <c r="D178" t="s">
        <v>1593</v>
      </c>
      <c r="E178" t="s">
        <v>1606</v>
      </c>
      <c r="F178">
        <v>26</v>
      </c>
      <c r="G178" t="s">
        <v>1597</v>
      </c>
    </row>
    <row r="179" spans="1:7" x14ac:dyDescent="0.55000000000000004">
      <c r="A179" s="1">
        <v>39625</v>
      </c>
      <c r="B179">
        <v>2008</v>
      </c>
      <c r="C179">
        <v>6</v>
      </c>
      <c r="D179" t="s">
        <v>1593</v>
      </c>
      <c r="E179" t="s">
        <v>1606</v>
      </c>
      <c r="F179">
        <v>26</v>
      </c>
      <c r="G179" t="s">
        <v>1598</v>
      </c>
    </row>
    <row r="180" spans="1:7" x14ac:dyDescent="0.55000000000000004">
      <c r="A180" s="1">
        <v>39626</v>
      </c>
      <c r="B180">
        <v>2008</v>
      </c>
      <c r="C180">
        <v>6</v>
      </c>
      <c r="D180" t="s">
        <v>1593</v>
      </c>
      <c r="E180" t="s">
        <v>1606</v>
      </c>
      <c r="F180">
        <v>26</v>
      </c>
      <c r="G180" t="s">
        <v>1599</v>
      </c>
    </row>
    <row r="181" spans="1:7" x14ac:dyDescent="0.55000000000000004">
      <c r="A181" s="1">
        <v>39627</v>
      </c>
      <c r="B181">
        <v>2008</v>
      </c>
      <c r="C181">
        <v>6</v>
      </c>
      <c r="D181" t="s">
        <v>1593</v>
      </c>
      <c r="E181" t="s">
        <v>1606</v>
      </c>
      <c r="F181">
        <v>26</v>
      </c>
      <c r="G181" t="s">
        <v>1600</v>
      </c>
    </row>
    <row r="182" spans="1:7" x14ac:dyDescent="0.55000000000000004">
      <c r="A182" s="1">
        <v>39628</v>
      </c>
      <c r="B182">
        <v>2008</v>
      </c>
      <c r="C182">
        <v>6</v>
      </c>
      <c r="D182" t="s">
        <v>1593</v>
      </c>
      <c r="E182" t="s">
        <v>1606</v>
      </c>
      <c r="F182">
        <v>27</v>
      </c>
      <c r="G182" t="s">
        <v>1601</v>
      </c>
    </row>
    <row r="183" spans="1:7" x14ac:dyDescent="0.55000000000000004">
      <c r="A183" s="1">
        <v>39629</v>
      </c>
      <c r="B183">
        <v>2008</v>
      </c>
      <c r="C183">
        <v>6</v>
      </c>
      <c r="D183" t="s">
        <v>1593</v>
      </c>
      <c r="E183" t="s">
        <v>1606</v>
      </c>
      <c r="F183">
        <v>27</v>
      </c>
      <c r="G183" t="s">
        <v>1602</v>
      </c>
    </row>
    <row r="184" spans="1:7" x14ac:dyDescent="0.55000000000000004">
      <c r="A184" s="1">
        <v>39630</v>
      </c>
      <c r="B184">
        <v>2008</v>
      </c>
      <c r="C184">
        <v>7</v>
      </c>
      <c r="D184" t="s">
        <v>1608</v>
      </c>
      <c r="E184" t="s">
        <v>1609</v>
      </c>
      <c r="F184">
        <v>27</v>
      </c>
      <c r="G184" t="s">
        <v>1596</v>
      </c>
    </row>
    <row r="185" spans="1:7" x14ac:dyDescent="0.55000000000000004">
      <c r="A185" s="1">
        <v>39631</v>
      </c>
      <c r="B185">
        <v>2008</v>
      </c>
      <c r="C185">
        <v>7</v>
      </c>
      <c r="D185" t="s">
        <v>1608</v>
      </c>
      <c r="E185" t="s">
        <v>1609</v>
      </c>
      <c r="F185">
        <v>27</v>
      </c>
      <c r="G185" t="s">
        <v>1597</v>
      </c>
    </row>
    <row r="186" spans="1:7" x14ac:dyDescent="0.55000000000000004">
      <c r="A186" s="1">
        <v>39632</v>
      </c>
      <c r="B186">
        <v>2008</v>
      </c>
      <c r="C186">
        <v>7</v>
      </c>
      <c r="D186" t="s">
        <v>1608</v>
      </c>
      <c r="E186" t="s">
        <v>1609</v>
      </c>
      <c r="F186">
        <v>27</v>
      </c>
      <c r="G186" t="s">
        <v>1598</v>
      </c>
    </row>
    <row r="187" spans="1:7" x14ac:dyDescent="0.55000000000000004">
      <c r="A187" s="1">
        <v>39633</v>
      </c>
      <c r="B187">
        <v>2008</v>
      </c>
      <c r="C187">
        <v>7</v>
      </c>
      <c r="D187" t="s">
        <v>1608</v>
      </c>
      <c r="E187" t="s">
        <v>1609</v>
      </c>
      <c r="F187">
        <v>27</v>
      </c>
      <c r="G187" t="s">
        <v>1599</v>
      </c>
    </row>
    <row r="188" spans="1:7" x14ac:dyDescent="0.55000000000000004">
      <c r="A188" s="1">
        <v>39634</v>
      </c>
      <c r="B188">
        <v>2008</v>
      </c>
      <c r="C188">
        <v>7</v>
      </c>
      <c r="D188" t="s">
        <v>1608</v>
      </c>
      <c r="E188" t="s">
        <v>1609</v>
      </c>
      <c r="F188">
        <v>27</v>
      </c>
      <c r="G188" t="s">
        <v>1600</v>
      </c>
    </row>
    <row r="189" spans="1:7" x14ac:dyDescent="0.55000000000000004">
      <c r="A189" s="1">
        <v>39635</v>
      </c>
      <c r="B189">
        <v>2008</v>
      </c>
      <c r="C189">
        <v>7</v>
      </c>
      <c r="D189" t="s">
        <v>1608</v>
      </c>
      <c r="E189" t="s">
        <v>1609</v>
      </c>
      <c r="F189">
        <v>28</v>
      </c>
      <c r="G189" t="s">
        <v>1601</v>
      </c>
    </row>
    <row r="190" spans="1:7" x14ac:dyDescent="0.55000000000000004">
      <c r="A190" s="1">
        <v>39636</v>
      </c>
      <c r="B190">
        <v>2008</v>
      </c>
      <c r="C190">
        <v>7</v>
      </c>
      <c r="D190" t="s">
        <v>1608</v>
      </c>
      <c r="E190" t="s">
        <v>1609</v>
      </c>
      <c r="F190">
        <v>28</v>
      </c>
      <c r="G190" t="s">
        <v>1602</v>
      </c>
    </row>
    <row r="191" spans="1:7" x14ac:dyDescent="0.55000000000000004">
      <c r="A191" s="1">
        <v>39637</v>
      </c>
      <c r="B191">
        <v>2008</v>
      </c>
      <c r="C191">
        <v>7</v>
      </c>
      <c r="D191" t="s">
        <v>1608</v>
      </c>
      <c r="E191" t="s">
        <v>1609</v>
      </c>
      <c r="F191">
        <v>28</v>
      </c>
      <c r="G191" t="s">
        <v>1596</v>
      </c>
    </row>
    <row r="192" spans="1:7" x14ac:dyDescent="0.55000000000000004">
      <c r="A192" s="1">
        <v>39638</v>
      </c>
      <c r="B192">
        <v>2008</v>
      </c>
      <c r="C192">
        <v>7</v>
      </c>
      <c r="D192" t="s">
        <v>1608</v>
      </c>
      <c r="E192" t="s">
        <v>1609</v>
      </c>
      <c r="F192">
        <v>28</v>
      </c>
      <c r="G192" t="s">
        <v>1597</v>
      </c>
    </row>
    <row r="193" spans="1:7" x14ac:dyDescent="0.55000000000000004">
      <c r="A193" s="1">
        <v>39639</v>
      </c>
      <c r="B193">
        <v>2008</v>
      </c>
      <c r="C193">
        <v>7</v>
      </c>
      <c r="D193" t="s">
        <v>1608</v>
      </c>
      <c r="E193" t="s">
        <v>1609</v>
      </c>
      <c r="F193">
        <v>28</v>
      </c>
      <c r="G193" t="s">
        <v>1598</v>
      </c>
    </row>
    <row r="194" spans="1:7" x14ac:dyDescent="0.55000000000000004">
      <c r="A194" s="1">
        <v>39640</v>
      </c>
      <c r="B194">
        <v>2008</v>
      </c>
      <c r="C194">
        <v>7</v>
      </c>
      <c r="D194" t="s">
        <v>1608</v>
      </c>
      <c r="E194" t="s">
        <v>1609</v>
      </c>
      <c r="F194">
        <v>28</v>
      </c>
      <c r="G194" t="s">
        <v>1599</v>
      </c>
    </row>
    <row r="195" spans="1:7" x14ac:dyDescent="0.55000000000000004">
      <c r="A195" s="1">
        <v>39641</v>
      </c>
      <c r="B195">
        <v>2008</v>
      </c>
      <c r="C195">
        <v>7</v>
      </c>
      <c r="D195" t="s">
        <v>1608</v>
      </c>
      <c r="E195" t="s">
        <v>1609</v>
      </c>
      <c r="F195">
        <v>28</v>
      </c>
      <c r="G195" t="s">
        <v>1600</v>
      </c>
    </row>
    <row r="196" spans="1:7" x14ac:dyDescent="0.55000000000000004">
      <c r="A196" s="1">
        <v>39642</v>
      </c>
      <c r="B196">
        <v>2008</v>
      </c>
      <c r="C196">
        <v>7</v>
      </c>
      <c r="D196" t="s">
        <v>1608</v>
      </c>
      <c r="E196" t="s">
        <v>1609</v>
      </c>
      <c r="F196">
        <v>29</v>
      </c>
      <c r="G196" t="s">
        <v>1601</v>
      </c>
    </row>
    <row r="197" spans="1:7" x14ac:dyDescent="0.55000000000000004">
      <c r="A197" s="1">
        <v>39643</v>
      </c>
      <c r="B197">
        <v>2008</v>
      </c>
      <c r="C197">
        <v>7</v>
      </c>
      <c r="D197" t="s">
        <v>1608</v>
      </c>
      <c r="E197" t="s">
        <v>1609</v>
      </c>
      <c r="F197">
        <v>29</v>
      </c>
      <c r="G197" t="s">
        <v>1602</v>
      </c>
    </row>
    <row r="198" spans="1:7" x14ac:dyDescent="0.55000000000000004">
      <c r="A198" s="1">
        <v>39644</v>
      </c>
      <c r="B198">
        <v>2008</v>
      </c>
      <c r="C198">
        <v>7</v>
      </c>
      <c r="D198" t="s">
        <v>1608</v>
      </c>
      <c r="E198" t="s">
        <v>1609</v>
      </c>
      <c r="F198">
        <v>29</v>
      </c>
      <c r="G198" t="s">
        <v>1596</v>
      </c>
    </row>
    <row r="199" spans="1:7" x14ac:dyDescent="0.55000000000000004">
      <c r="A199" s="1">
        <v>39645</v>
      </c>
      <c r="B199">
        <v>2008</v>
      </c>
      <c r="C199">
        <v>7</v>
      </c>
      <c r="D199" t="s">
        <v>1608</v>
      </c>
      <c r="E199" t="s">
        <v>1609</v>
      </c>
      <c r="F199">
        <v>29</v>
      </c>
      <c r="G199" t="s">
        <v>1597</v>
      </c>
    </row>
    <row r="200" spans="1:7" x14ac:dyDescent="0.55000000000000004">
      <c r="A200" s="1">
        <v>39646</v>
      </c>
      <c r="B200">
        <v>2008</v>
      </c>
      <c r="C200">
        <v>7</v>
      </c>
      <c r="D200" t="s">
        <v>1608</v>
      </c>
      <c r="E200" t="s">
        <v>1609</v>
      </c>
      <c r="F200">
        <v>29</v>
      </c>
      <c r="G200" t="s">
        <v>1598</v>
      </c>
    </row>
    <row r="201" spans="1:7" x14ac:dyDescent="0.55000000000000004">
      <c r="A201" s="1">
        <v>39647</v>
      </c>
      <c r="B201">
        <v>2008</v>
      </c>
      <c r="C201">
        <v>7</v>
      </c>
      <c r="D201" t="s">
        <v>1608</v>
      </c>
      <c r="E201" t="s">
        <v>1609</v>
      </c>
      <c r="F201">
        <v>29</v>
      </c>
      <c r="G201" t="s">
        <v>1599</v>
      </c>
    </row>
    <row r="202" spans="1:7" x14ac:dyDescent="0.55000000000000004">
      <c r="A202" s="1">
        <v>39648</v>
      </c>
      <c r="B202">
        <v>2008</v>
      </c>
      <c r="C202">
        <v>7</v>
      </c>
      <c r="D202" t="s">
        <v>1608</v>
      </c>
      <c r="E202" t="s">
        <v>1609</v>
      </c>
      <c r="F202">
        <v>29</v>
      </c>
      <c r="G202" t="s">
        <v>1600</v>
      </c>
    </row>
    <row r="203" spans="1:7" x14ac:dyDescent="0.55000000000000004">
      <c r="A203" s="1">
        <v>39649</v>
      </c>
      <c r="B203">
        <v>2008</v>
      </c>
      <c r="C203">
        <v>7</v>
      </c>
      <c r="D203" t="s">
        <v>1608</v>
      </c>
      <c r="E203" t="s">
        <v>1609</v>
      </c>
      <c r="F203">
        <v>30</v>
      </c>
      <c r="G203" t="s">
        <v>1601</v>
      </c>
    </row>
    <row r="204" spans="1:7" x14ac:dyDescent="0.55000000000000004">
      <c r="A204" s="1">
        <v>39650</v>
      </c>
      <c r="B204">
        <v>2008</v>
      </c>
      <c r="C204">
        <v>7</v>
      </c>
      <c r="D204" t="s">
        <v>1608</v>
      </c>
      <c r="E204" t="s">
        <v>1609</v>
      </c>
      <c r="F204">
        <v>30</v>
      </c>
      <c r="G204" t="s">
        <v>1602</v>
      </c>
    </row>
    <row r="205" spans="1:7" x14ac:dyDescent="0.55000000000000004">
      <c r="A205" s="1">
        <v>39651</v>
      </c>
      <c r="B205">
        <v>2008</v>
      </c>
      <c r="C205">
        <v>7</v>
      </c>
      <c r="D205" t="s">
        <v>1608</v>
      </c>
      <c r="E205" t="s">
        <v>1609</v>
      </c>
      <c r="F205">
        <v>30</v>
      </c>
      <c r="G205" t="s">
        <v>1596</v>
      </c>
    </row>
    <row r="206" spans="1:7" x14ac:dyDescent="0.55000000000000004">
      <c r="A206" s="1">
        <v>39652</v>
      </c>
      <c r="B206">
        <v>2008</v>
      </c>
      <c r="C206">
        <v>7</v>
      </c>
      <c r="D206" t="s">
        <v>1608</v>
      </c>
      <c r="E206" t="s">
        <v>1609</v>
      </c>
      <c r="F206">
        <v>30</v>
      </c>
      <c r="G206" t="s">
        <v>1597</v>
      </c>
    </row>
    <row r="207" spans="1:7" x14ac:dyDescent="0.55000000000000004">
      <c r="A207" s="1">
        <v>39653</v>
      </c>
      <c r="B207">
        <v>2008</v>
      </c>
      <c r="C207">
        <v>7</v>
      </c>
      <c r="D207" t="s">
        <v>1608</v>
      </c>
      <c r="E207" t="s">
        <v>1609</v>
      </c>
      <c r="F207">
        <v>30</v>
      </c>
      <c r="G207" t="s">
        <v>1598</v>
      </c>
    </row>
    <row r="208" spans="1:7" x14ac:dyDescent="0.55000000000000004">
      <c r="A208" s="1">
        <v>39654</v>
      </c>
      <c r="B208">
        <v>2008</v>
      </c>
      <c r="C208">
        <v>7</v>
      </c>
      <c r="D208" t="s">
        <v>1608</v>
      </c>
      <c r="E208" t="s">
        <v>1609</v>
      </c>
      <c r="F208">
        <v>30</v>
      </c>
      <c r="G208" t="s">
        <v>1599</v>
      </c>
    </row>
    <row r="209" spans="1:7" x14ac:dyDescent="0.55000000000000004">
      <c r="A209" s="1">
        <v>39655</v>
      </c>
      <c r="B209">
        <v>2008</v>
      </c>
      <c r="C209">
        <v>7</v>
      </c>
      <c r="D209" t="s">
        <v>1608</v>
      </c>
      <c r="E209" t="s">
        <v>1609</v>
      </c>
      <c r="F209">
        <v>30</v>
      </c>
      <c r="G209" t="s">
        <v>1600</v>
      </c>
    </row>
    <row r="210" spans="1:7" x14ac:dyDescent="0.55000000000000004">
      <c r="A210" s="1">
        <v>39656</v>
      </c>
      <c r="B210">
        <v>2008</v>
      </c>
      <c r="C210">
        <v>7</v>
      </c>
      <c r="D210" t="s">
        <v>1608</v>
      </c>
      <c r="E210" t="s">
        <v>1609</v>
      </c>
      <c r="F210">
        <v>31</v>
      </c>
      <c r="G210" t="s">
        <v>1601</v>
      </c>
    </row>
    <row r="211" spans="1:7" x14ac:dyDescent="0.55000000000000004">
      <c r="A211" s="1">
        <v>39657</v>
      </c>
      <c r="B211">
        <v>2008</v>
      </c>
      <c r="C211">
        <v>7</v>
      </c>
      <c r="D211" t="s">
        <v>1608</v>
      </c>
      <c r="E211" t="s">
        <v>1609</v>
      </c>
      <c r="F211">
        <v>31</v>
      </c>
      <c r="G211" t="s">
        <v>1602</v>
      </c>
    </row>
    <row r="212" spans="1:7" x14ac:dyDescent="0.55000000000000004">
      <c r="A212" s="1">
        <v>39658</v>
      </c>
      <c r="B212">
        <v>2008</v>
      </c>
      <c r="C212">
        <v>7</v>
      </c>
      <c r="D212" t="s">
        <v>1608</v>
      </c>
      <c r="E212" t="s">
        <v>1609</v>
      </c>
      <c r="F212">
        <v>31</v>
      </c>
      <c r="G212" t="s">
        <v>1596</v>
      </c>
    </row>
    <row r="213" spans="1:7" x14ac:dyDescent="0.55000000000000004">
      <c r="A213" s="1">
        <v>39659</v>
      </c>
      <c r="B213">
        <v>2008</v>
      </c>
      <c r="C213">
        <v>7</v>
      </c>
      <c r="D213" t="s">
        <v>1608</v>
      </c>
      <c r="E213" t="s">
        <v>1609</v>
      </c>
      <c r="F213">
        <v>31</v>
      </c>
      <c r="G213" t="s">
        <v>1597</v>
      </c>
    </row>
    <row r="214" spans="1:7" x14ac:dyDescent="0.55000000000000004">
      <c r="A214" s="1">
        <v>39660</v>
      </c>
      <c r="B214">
        <v>2008</v>
      </c>
      <c r="C214">
        <v>7</v>
      </c>
      <c r="D214" t="s">
        <v>1608</v>
      </c>
      <c r="E214" t="s">
        <v>1609</v>
      </c>
      <c r="F214">
        <v>31</v>
      </c>
      <c r="G214" t="s">
        <v>1598</v>
      </c>
    </row>
    <row r="215" spans="1:7" x14ac:dyDescent="0.55000000000000004">
      <c r="A215" s="1">
        <v>39661</v>
      </c>
      <c r="B215">
        <v>2008</v>
      </c>
      <c r="C215">
        <v>8</v>
      </c>
      <c r="D215" t="s">
        <v>1610</v>
      </c>
      <c r="E215" t="s">
        <v>1609</v>
      </c>
      <c r="F215">
        <v>31</v>
      </c>
      <c r="G215" t="s">
        <v>1599</v>
      </c>
    </row>
    <row r="216" spans="1:7" x14ac:dyDescent="0.55000000000000004">
      <c r="A216" s="1">
        <v>39662</v>
      </c>
      <c r="B216">
        <v>2008</v>
      </c>
      <c r="C216">
        <v>8</v>
      </c>
      <c r="D216" t="s">
        <v>1610</v>
      </c>
      <c r="E216" t="s">
        <v>1609</v>
      </c>
      <c r="F216">
        <v>31</v>
      </c>
      <c r="G216" t="s">
        <v>1600</v>
      </c>
    </row>
    <row r="217" spans="1:7" x14ac:dyDescent="0.55000000000000004">
      <c r="A217" s="1">
        <v>39663</v>
      </c>
      <c r="B217">
        <v>2008</v>
      </c>
      <c r="C217">
        <v>8</v>
      </c>
      <c r="D217" t="s">
        <v>1610</v>
      </c>
      <c r="E217" t="s">
        <v>1609</v>
      </c>
      <c r="F217">
        <v>32</v>
      </c>
      <c r="G217" t="s">
        <v>1601</v>
      </c>
    </row>
    <row r="218" spans="1:7" x14ac:dyDescent="0.55000000000000004">
      <c r="A218" s="1">
        <v>39664</v>
      </c>
      <c r="B218">
        <v>2008</v>
      </c>
      <c r="C218">
        <v>8</v>
      </c>
      <c r="D218" t="s">
        <v>1610</v>
      </c>
      <c r="E218" t="s">
        <v>1609</v>
      </c>
      <c r="F218">
        <v>32</v>
      </c>
      <c r="G218" t="s">
        <v>1602</v>
      </c>
    </row>
    <row r="219" spans="1:7" x14ac:dyDescent="0.55000000000000004">
      <c r="A219" s="1">
        <v>39665</v>
      </c>
      <c r="B219">
        <v>2008</v>
      </c>
      <c r="C219">
        <v>8</v>
      </c>
      <c r="D219" t="s">
        <v>1610</v>
      </c>
      <c r="E219" t="s">
        <v>1609</v>
      </c>
      <c r="F219">
        <v>32</v>
      </c>
      <c r="G219" t="s">
        <v>1596</v>
      </c>
    </row>
    <row r="220" spans="1:7" x14ac:dyDescent="0.55000000000000004">
      <c r="A220" s="1">
        <v>39666</v>
      </c>
      <c r="B220">
        <v>2008</v>
      </c>
      <c r="C220">
        <v>8</v>
      </c>
      <c r="D220" t="s">
        <v>1610</v>
      </c>
      <c r="E220" t="s">
        <v>1609</v>
      </c>
      <c r="F220">
        <v>32</v>
      </c>
      <c r="G220" t="s">
        <v>1597</v>
      </c>
    </row>
    <row r="221" spans="1:7" x14ac:dyDescent="0.55000000000000004">
      <c r="A221" s="1">
        <v>39667</v>
      </c>
      <c r="B221">
        <v>2008</v>
      </c>
      <c r="C221">
        <v>8</v>
      </c>
      <c r="D221" t="s">
        <v>1610</v>
      </c>
      <c r="E221" t="s">
        <v>1609</v>
      </c>
      <c r="F221">
        <v>32</v>
      </c>
      <c r="G221" t="s">
        <v>1598</v>
      </c>
    </row>
    <row r="222" spans="1:7" x14ac:dyDescent="0.55000000000000004">
      <c r="A222" s="1">
        <v>39668</v>
      </c>
      <c r="B222">
        <v>2008</v>
      </c>
      <c r="C222">
        <v>8</v>
      </c>
      <c r="D222" t="s">
        <v>1610</v>
      </c>
      <c r="E222" t="s">
        <v>1609</v>
      </c>
      <c r="F222">
        <v>32</v>
      </c>
      <c r="G222" t="s">
        <v>1599</v>
      </c>
    </row>
    <row r="223" spans="1:7" x14ac:dyDescent="0.55000000000000004">
      <c r="A223" s="1">
        <v>39669</v>
      </c>
      <c r="B223">
        <v>2008</v>
      </c>
      <c r="C223">
        <v>8</v>
      </c>
      <c r="D223" t="s">
        <v>1610</v>
      </c>
      <c r="E223" t="s">
        <v>1609</v>
      </c>
      <c r="F223">
        <v>32</v>
      </c>
      <c r="G223" t="s">
        <v>1600</v>
      </c>
    </row>
    <row r="224" spans="1:7" x14ac:dyDescent="0.55000000000000004">
      <c r="A224" s="1">
        <v>39670</v>
      </c>
      <c r="B224">
        <v>2008</v>
      </c>
      <c r="C224">
        <v>8</v>
      </c>
      <c r="D224" t="s">
        <v>1610</v>
      </c>
      <c r="E224" t="s">
        <v>1609</v>
      </c>
      <c r="F224">
        <v>33</v>
      </c>
      <c r="G224" t="s">
        <v>1601</v>
      </c>
    </row>
    <row r="225" spans="1:7" x14ac:dyDescent="0.55000000000000004">
      <c r="A225" s="1">
        <v>39671</v>
      </c>
      <c r="B225">
        <v>2008</v>
      </c>
      <c r="C225">
        <v>8</v>
      </c>
      <c r="D225" t="s">
        <v>1610</v>
      </c>
      <c r="E225" t="s">
        <v>1609</v>
      </c>
      <c r="F225">
        <v>33</v>
      </c>
      <c r="G225" t="s">
        <v>1602</v>
      </c>
    </row>
    <row r="226" spans="1:7" x14ac:dyDescent="0.55000000000000004">
      <c r="A226" s="1">
        <v>39672</v>
      </c>
      <c r="B226">
        <v>2008</v>
      </c>
      <c r="C226">
        <v>8</v>
      </c>
      <c r="D226" t="s">
        <v>1610</v>
      </c>
      <c r="E226" t="s">
        <v>1609</v>
      </c>
      <c r="F226">
        <v>33</v>
      </c>
      <c r="G226" t="s">
        <v>1596</v>
      </c>
    </row>
    <row r="227" spans="1:7" x14ac:dyDescent="0.55000000000000004">
      <c r="A227" s="1">
        <v>39673</v>
      </c>
      <c r="B227">
        <v>2008</v>
      </c>
      <c r="C227">
        <v>8</v>
      </c>
      <c r="D227" t="s">
        <v>1610</v>
      </c>
      <c r="E227" t="s">
        <v>1609</v>
      </c>
      <c r="F227">
        <v>33</v>
      </c>
      <c r="G227" t="s">
        <v>1597</v>
      </c>
    </row>
    <row r="228" spans="1:7" x14ac:dyDescent="0.55000000000000004">
      <c r="A228" s="1">
        <v>39674</v>
      </c>
      <c r="B228">
        <v>2008</v>
      </c>
      <c r="C228">
        <v>8</v>
      </c>
      <c r="D228" t="s">
        <v>1610</v>
      </c>
      <c r="E228" t="s">
        <v>1609</v>
      </c>
      <c r="F228">
        <v>33</v>
      </c>
      <c r="G228" t="s">
        <v>1598</v>
      </c>
    </row>
    <row r="229" spans="1:7" x14ac:dyDescent="0.55000000000000004">
      <c r="A229" s="1">
        <v>39675</v>
      </c>
      <c r="B229">
        <v>2008</v>
      </c>
      <c r="C229">
        <v>8</v>
      </c>
      <c r="D229" t="s">
        <v>1610</v>
      </c>
      <c r="E229" t="s">
        <v>1609</v>
      </c>
      <c r="F229">
        <v>33</v>
      </c>
      <c r="G229" t="s">
        <v>1599</v>
      </c>
    </row>
    <row r="230" spans="1:7" x14ac:dyDescent="0.55000000000000004">
      <c r="A230" s="1">
        <v>39676</v>
      </c>
      <c r="B230">
        <v>2008</v>
      </c>
      <c r="C230">
        <v>8</v>
      </c>
      <c r="D230" t="s">
        <v>1610</v>
      </c>
      <c r="E230" t="s">
        <v>1609</v>
      </c>
      <c r="F230">
        <v>33</v>
      </c>
      <c r="G230" t="s">
        <v>1600</v>
      </c>
    </row>
    <row r="231" spans="1:7" x14ac:dyDescent="0.55000000000000004">
      <c r="A231" s="1">
        <v>39677</v>
      </c>
      <c r="B231">
        <v>2008</v>
      </c>
      <c r="C231">
        <v>8</v>
      </c>
      <c r="D231" t="s">
        <v>1610</v>
      </c>
      <c r="E231" t="s">
        <v>1609</v>
      </c>
      <c r="F231">
        <v>34</v>
      </c>
      <c r="G231" t="s">
        <v>1601</v>
      </c>
    </row>
    <row r="232" spans="1:7" x14ac:dyDescent="0.55000000000000004">
      <c r="A232" s="1">
        <v>39678</v>
      </c>
      <c r="B232">
        <v>2008</v>
      </c>
      <c r="C232">
        <v>8</v>
      </c>
      <c r="D232" t="s">
        <v>1610</v>
      </c>
      <c r="E232" t="s">
        <v>1609</v>
      </c>
      <c r="F232">
        <v>34</v>
      </c>
      <c r="G232" t="s">
        <v>1602</v>
      </c>
    </row>
    <row r="233" spans="1:7" x14ac:dyDescent="0.55000000000000004">
      <c r="A233" s="1">
        <v>39679</v>
      </c>
      <c r="B233">
        <v>2008</v>
      </c>
      <c r="C233">
        <v>8</v>
      </c>
      <c r="D233" t="s">
        <v>1610</v>
      </c>
      <c r="E233" t="s">
        <v>1609</v>
      </c>
      <c r="F233">
        <v>34</v>
      </c>
      <c r="G233" t="s">
        <v>1596</v>
      </c>
    </row>
    <row r="234" spans="1:7" x14ac:dyDescent="0.55000000000000004">
      <c r="A234" s="1">
        <v>39680</v>
      </c>
      <c r="B234">
        <v>2008</v>
      </c>
      <c r="C234">
        <v>8</v>
      </c>
      <c r="D234" t="s">
        <v>1610</v>
      </c>
      <c r="E234" t="s">
        <v>1609</v>
      </c>
      <c r="F234">
        <v>34</v>
      </c>
      <c r="G234" t="s">
        <v>1597</v>
      </c>
    </row>
    <row r="235" spans="1:7" x14ac:dyDescent="0.55000000000000004">
      <c r="A235" s="1">
        <v>39681</v>
      </c>
      <c r="B235">
        <v>2008</v>
      </c>
      <c r="C235">
        <v>8</v>
      </c>
      <c r="D235" t="s">
        <v>1610</v>
      </c>
      <c r="E235" t="s">
        <v>1609</v>
      </c>
      <c r="F235">
        <v>34</v>
      </c>
      <c r="G235" t="s">
        <v>1598</v>
      </c>
    </row>
    <row r="236" spans="1:7" x14ac:dyDescent="0.55000000000000004">
      <c r="A236" s="1">
        <v>39682</v>
      </c>
      <c r="B236">
        <v>2008</v>
      </c>
      <c r="C236">
        <v>8</v>
      </c>
      <c r="D236" t="s">
        <v>1610</v>
      </c>
      <c r="E236" t="s">
        <v>1609</v>
      </c>
      <c r="F236">
        <v>34</v>
      </c>
      <c r="G236" t="s">
        <v>1599</v>
      </c>
    </row>
    <row r="237" spans="1:7" x14ac:dyDescent="0.55000000000000004">
      <c r="A237" s="1">
        <v>39683</v>
      </c>
      <c r="B237">
        <v>2008</v>
      </c>
      <c r="C237">
        <v>8</v>
      </c>
      <c r="D237" t="s">
        <v>1610</v>
      </c>
      <c r="E237" t="s">
        <v>1609</v>
      </c>
      <c r="F237">
        <v>34</v>
      </c>
      <c r="G237" t="s">
        <v>1600</v>
      </c>
    </row>
    <row r="238" spans="1:7" x14ac:dyDescent="0.55000000000000004">
      <c r="A238" s="1">
        <v>39684</v>
      </c>
      <c r="B238">
        <v>2008</v>
      </c>
      <c r="C238">
        <v>8</v>
      </c>
      <c r="D238" t="s">
        <v>1610</v>
      </c>
      <c r="E238" t="s">
        <v>1609</v>
      </c>
      <c r="F238">
        <v>35</v>
      </c>
      <c r="G238" t="s">
        <v>1601</v>
      </c>
    </row>
    <row r="239" spans="1:7" x14ac:dyDescent="0.55000000000000004">
      <c r="A239" s="1">
        <v>39685</v>
      </c>
      <c r="B239">
        <v>2008</v>
      </c>
      <c r="C239">
        <v>8</v>
      </c>
      <c r="D239" t="s">
        <v>1610</v>
      </c>
      <c r="E239" t="s">
        <v>1609</v>
      </c>
      <c r="F239">
        <v>35</v>
      </c>
      <c r="G239" t="s">
        <v>1602</v>
      </c>
    </row>
    <row r="240" spans="1:7" x14ac:dyDescent="0.55000000000000004">
      <c r="A240" s="1">
        <v>39686</v>
      </c>
      <c r="B240">
        <v>2008</v>
      </c>
      <c r="C240">
        <v>8</v>
      </c>
      <c r="D240" t="s">
        <v>1610</v>
      </c>
      <c r="E240" t="s">
        <v>1609</v>
      </c>
      <c r="F240">
        <v>35</v>
      </c>
      <c r="G240" t="s">
        <v>1596</v>
      </c>
    </row>
    <row r="241" spans="1:7" x14ac:dyDescent="0.55000000000000004">
      <c r="A241" s="1">
        <v>39687</v>
      </c>
      <c r="B241">
        <v>2008</v>
      </c>
      <c r="C241">
        <v>8</v>
      </c>
      <c r="D241" t="s">
        <v>1610</v>
      </c>
      <c r="E241" t="s">
        <v>1609</v>
      </c>
      <c r="F241">
        <v>35</v>
      </c>
      <c r="G241" t="s">
        <v>1597</v>
      </c>
    </row>
    <row r="242" spans="1:7" x14ac:dyDescent="0.55000000000000004">
      <c r="A242" s="1">
        <v>39688</v>
      </c>
      <c r="B242">
        <v>2008</v>
      </c>
      <c r="C242">
        <v>8</v>
      </c>
      <c r="D242" t="s">
        <v>1610</v>
      </c>
      <c r="E242" t="s">
        <v>1609</v>
      </c>
      <c r="F242">
        <v>35</v>
      </c>
      <c r="G242" t="s">
        <v>1598</v>
      </c>
    </row>
    <row r="243" spans="1:7" x14ac:dyDescent="0.55000000000000004">
      <c r="A243" s="1">
        <v>39689</v>
      </c>
      <c r="B243">
        <v>2008</v>
      </c>
      <c r="C243">
        <v>8</v>
      </c>
      <c r="D243" t="s">
        <v>1610</v>
      </c>
      <c r="E243" t="s">
        <v>1609</v>
      </c>
      <c r="F243">
        <v>35</v>
      </c>
      <c r="G243" t="s">
        <v>1599</v>
      </c>
    </row>
    <row r="244" spans="1:7" x14ac:dyDescent="0.55000000000000004">
      <c r="A244" s="1">
        <v>39690</v>
      </c>
      <c r="B244">
        <v>2008</v>
      </c>
      <c r="C244">
        <v>8</v>
      </c>
      <c r="D244" t="s">
        <v>1610</v>
      </c>
      <c r="E244" t="s">
        <v>1609</v>
      </c>
      <c r="F244">
        <v>35</v>
      </c>
      <c r="G244" t="s">
        <v>1600</v>
      </c>
    </row>
    <row r="245" spans="1:7" x14ac:dyDescent="0.55000000000000004">
      <c r="A245" s="1">
        <v>39691</v>
      </c>
      <c r="B245">
        <v>2008</v>
      </c>
      <c r="C245">
        <v>8</v>
      </c>
      <c r="D245" t="s">
        <v>1610</v>
      </c>
      <c r="E245" t="s">
        <v>1609</v>
      </c>
      <c r="F245">
        <v>36</v>
      </c>
      <c r="G245" t="s">
        <v>1601</v>
      </c>
    </row>
    <row r="246" spans="1:7" x14ac:dyDescent="0.55000000000000004">
      <c r="A246" s="1">
        <v>39692</v>
      </c>
      <c r="B246">
        <v>2008</v>
      </c>
      <c r="C246">
        <v>9</v>
      </c>
      <c r="D246" t="s">
        <v>1611</v>
      </c>
      <c r="E246" t="s">
        <v>1609</v>
      </c>
      <c r="F246">
        <v>36</v>
      </c>
      <c r="G246" t="s">
        <v>1602</v>
      </c>
    </row>
    <row r="247" spans="1:7" x14ac:dyDescent="0.55000000000000004">
      <c r="A247" s="1">
        <v>39693</v>
      </c>
      <c r="B247">
        <v>2008</v>
      </c>
      <c r="C247">
        <v>9</v>
      </c>
      <c r="D247" t="s">
        <v>1611</v>
      </c>
      <c r="E247" t="s">
        <v>1609</v>
      </c>
      <c r="F247">
        <v>36</v>
      </c>
      <c r="G247" t="s">
        <v>1596</v>
      </c>
    </row>
    <row r="248" spans="1:7" x14ac:dyDescent="0.55000000000000004">
      <c r="A248" s="1">
        <v>39694</v>
      </c>
      <c r="B248">
        <v>2008</v>
      </c>
      <c r="C248">
        <v>9</v>
      </c>
      <c r="D248" t="s">
        <v>1611</v>
      </c>
      <c r="E248" t="s">
        <v>1609</v>
      </c>
      <c r="F248">
        <v>36</v>
      </c>
      <c r="G248" t="s">
        <v>1597</v>
      </c>
    </row>
    <row r="249" spans="1:7" x14ac:dyDescent="0.55000000000000004">
      <c r="A249" s="1">
        <v>39695</v>
      </c>
      <c r="B249">
        <v>2008</v>
      </c>
      <c r="C249">
        <v>9</v>
      </c>
      <c r="D249" t="s">
        <v>1611</v>
      </c>
      <c r="E249" t="s">
        <v>1609</v>
      </c>
      <c r="F249">
        <v>36</v>
      </c>
      <c r="G249" t="s">
        <v>1598</v>
      </c>
    </row>
    <row r="250" spans="1:7" x14ac:dyDescent="0.55000000000000004">
      <c r="A250" s="1">
        <v>39696</v>
      </c>
      <c r="B250">
        <v>2008</v>
      </c>
      <c r="C250">
        <v>9</v>
      </c>
      <c r="D250" t="s">
        <v>1611</v>
      </c>
      <c r="E250" t="s">
        <v>1609</v>
      </c>
      <c r="F250">
        <v>36</v>
      </c>
      <c r="G250" t="s">
        <v>1599</v>
      </c>
    </row>
    <row r="251" spans="1:7" x14ac:dyDescent="0.55000000000000004">
      <c r="A251" s="1">
        <v>39697</v>
      </c>
      <c r="B251">
        <v>2008</v>
      </c>
      <c r="C251">
        <v>9</v>
      </c>
      <c r="D251" t="s">
        <v>1611</v>
      </c>
      <c r="E251" t="s">
        <v>1609</v>
      </c>
      <c r="F251">
        <v>36</v>
      </c>
      <c r="G251" t="s">
        <v>1600</v>
      </c>
    </row>
    <row r="252" spans="1:7" x14ac:dyDescent="0.55000000000000004">
      <c r="A252" s="1">
        <v>39698</v>
      </c>
      <c r="B252">
        <v>2008</v>
      </c>
      <c r="C252">
        <v>9</v>
      </c>
      <c r="D252" t="s">
        <v>1611</v>
      </c>
      <c r="E252" t="s">
        <v>1609</v>
      </c>
      <c r="F252">
        <v>37</v>
      </c>
      <c r="G252" t="s">
        <v>1601</v>
      </c>
    </row>
    <row r="253" spans="1:7" x14ac:dyDescent="0.55000000000000004">
      <c r="A253" s="1">
        <v>39699</v>
      </c>
      <c r="B253">
        <v>2008</v>
      </c>
      <c r="C253">
        <v>9</v>
      </c>
      <c r="D253" t="s">
        <v>1611</v>
      </c>
      <c r="E253" t="s">
        <v>1609</v>
      </c>
      <c r="F253">
        <v>37</v>
      </c>
      <c r="G253" t="s">
        <v>1602</v>
      </c>
    </row>
    <row r="254" spans="1:7" x14ac:dyDescent="0.55000000000000004">
      <c r="A254" s="1">
        <v>39700</v>
      </c>
      <c r="B254">
        <v>2008</v>
      </c>
      <c r="C254">
        <v>9</v>
      </c>
      <c r="D254" t="s">
        <v>1611</v>
      </c>
      <c r="E254" t="s">
        <v>1609</v>
      </c>
      <c r="F254">
        <v>37</v>
      </c>
      <c r="G254" t="s">
        <v>1596</v>
      </c>
    </row>
    <row r="255" spans="1:7" x14ac:dyDescent="0.55000000000000004">
      <c r="A255" s="1">
        <v>39701</v>
      </c>
      <c r="B255">
        <v>2008</v>
      </c>
      <c r="C255">
        <v>9</v>
      </c>
      <c r="D255" t="s">
        <v>1611</v>
      </c>
      <c r="E255" t="s">
        <v>1609</v>
      </c>
      <c r="F255">
        <v>37</v>
      </c>
      <c r="G255" t="s">
        <v>1597</v>
      </c>
    </row>
    <row r="256" spans="1:7" x14ac:dyDescent="0.55000000000000004">
      <c r="A256" s="1">
        <v>39702</v>
      </c>
      <c r="B256">
        <v>2008</v>
      </c>
      <c r="C256">
        <v>9</v>
      </c>
      <c r="D256" t="s">
        <v>1611</v>
      </c>
      <c r="E256" t="s">
        <v>1609</v>
      </c>
      <c r="F256">
        <v>37</v>
      </c>
      <c r="G256" t="s">
        <v>1598</v>
      </c>
    </row>
    <row r="257" spans="1:7" x14ac:dyDescent="0.55000000000000004">
      <c r="A257" s="1">
        <v>39703</v>
      </c>
      <c r="B257">
        <v>2008</v>
      </c>
      <c r="C257">
        <v>9</v>
      </c>
      <c r="D257" t="s">
        <v>1611</v>
      </c>
      <c r="E257" t="s">
        <v>1609</v>
      </c>
      <c r="F257">
        <v>37</v>
      </c>
      <c r="G257" t="s">
        <v>1599</v>
      </c>
    </row>
    <row r="258" spans="1:7" x14ac:dyDescent="0.55000000000000004">
      <c r="A258" s="1">
        <v>39704</v>
      </c>
      <c r="B258">
        <v>2008</v>
      </c>
      <c r="C258">
        <v>9</v>
      </c>
      <c r="D258" t="s">
        <v>1611</v>
      </c>
      <c r="E258" t="s">
        <v>1609</v>
      </c>
      <c r="F258">
        <v>37</v>
      </c>
      <c r="G258" t="s">
        <v>1600</v>
      </c>
    </row>
    <row r="259" spans="1:7" x14ac:dyDescent="0.55000000000000004">
      <c r="A259" s="1">
        <v>39705</v>
      </c>
      <c r="B259">
        <v>2008</v>
      </c>
      <c r="C259">
        <v>9</v>
      </c>
      <c r="D259" t="s">
        <v>1611</v>
      </c>
      <c r="E259" t="s">
        <v>1609</v>
      </c>
      <c r="F259">
        <v>38</v>
      </c>
      <c r="G259" t="s">
        <v>1601</v>
      </c>
    </row>
    <row r="260" spans="1:7" x14ac:dyDescent="0.55000000000000004">
      <c r="A260" s="1">
        <v>39706</v>
      </c>
      <c r="B260">
        <v>2008</v>
      </c>
      <c r="C260">
        <v>9</v>
      </c>
      <c r="D260" t="s">
        <v>1611</v>
      </c>
      <c r="E260" t="s">
        <v>1609</v>
      </c>
      <c r="F260">
        <v>38</v>
      </c>
      <c r="G260" t="s">
        <v>1602</v>
      </c>
    </row>
    <row r="261" spans="1:7" x14ac:dyDescent="0.55000000000000004">
      <c r="A261" s="1">
        <v>39707</v>
      </c>
      <c r="B261">
        <v>2008</v>
      </c>
      <c r="C261">
        <v>9</v>
      </c>
      <c r="D261" t="s">
        <v>1611</v>
      </c>
      <c r="E261" t="s">
        <v>1609</v>
      </c>
      <c r="F261">
        <v>38</v>
      </c>
      <c r="G261" t="s">
        <v>1596</v>
      </c>
    </row>
    <row r="262" spans="1:7" x14ac:dyDescent="0.55000000000000004">
      <c r="A262" s="1">
        <v>39708</v>
      </c>
      <c r="B262">
        <v>2008</v>
      </c>
      <c r="C262">
        <v>9</v>
      </c>
      <c r="D262" t="s">
        <v>1611</v>
      </c>
      <c r="E262" t="s">
        <v>1609</v>
      </c>
      <c r="F262">
        <v>38</v>
      </c>
      <c r="G262" t="s">
        <v>1597</v>
      </c>
    </row>
    <row r="263" spans="1:7" x14ac:dyDescent="0.55000000000000004">
      <c r="A263" s="1">
        <v>39709</v>
      </c>
      <c r="B263">
        <v>2008</v>
      </c>
      <c r="C263">
        <v>9</v>
      </c>
      <c r="D263" t="s">
        <v>1611</v>
      </c>
      <c r="E263" t="s">
        <v>1609</v>
      </c>
      <c r="F263">
        <v>38</v>
      </c>
      <c r="G263" t="s">
        <v>1598</v>
      </c>
    </row>
    <row r="264" spans="1:7" x14ac:dyDescent="0.55000000000000004">
      <c r="A264" s="1">
        <v>39710</v>
      </c>
      <c r="B264">
        <v>2008</v>
      </c>
      <c r="C264">
        <v>9</v>
      </c>
      <c r="D264" t="s">
        <v>1611</v>
      </c>
      <c r="E264" t="s">
        <v>1609</v>
      </c>
      <c r="F264">
        <v>38</v>
      </c>
      <c r="G264" t="s">
        <v>1599</v>
      </c>
    </row>
    <row r="265" spans="1:7" x14ac:dyDescent="0.55000000000000004">
      <c r="A265" s="1">
        <v>39711</v>
      </c>
      <c r="B265">
        <v>2008</v>
      </c>
      <c r="C265">
        <v>9</v>
      </c>
      <c r="D265" t="s">
        <v>1611</v>
      </c>
      <c r="E265" t="s">
        <v>1609</v>
      </c>
      <c r="F265">
        <v>38</v>
      </c>
      <c r="G265" t="s">
        <v>1600</v>
      </c>
    </row>
    <row r="266" spans="1:7" x14ac:dyDescent="0.55000000000000004">
      <c r="A266" s="1">
        <v>39712</v>
      </c>
      <c r="B266">
        <v>2008</v>
      </c>
      <c r="C266">
        <v>9</v>
      </c>
      <c r="D266" t="s">
        <v>1611</v>
      </c>
      <c r="E266" t="s">
        <v>1609</v>
      </c>
      <c r="F266">
        <v>39</v>
      </c>
      <c r="G266" t="s">
        <v>1601</v>
      </c>
    </row>
    <row r="267" spans="1:7" x14ac:dyDescent="0.55000000000000004">
      <c r="A267" s="1">
        <v>39713</v>
      </c>
      <c r="B267">
        <v>2008</v>
      </c>
      <c r="C267">
        <v>9</v>
      </c>
      <c r="D267" t="s">
        <v>1611</v>
      </c>
      <c r="E267" t="s">
        <v>1609</v>
      </c>
      <c r="F267">
        <v>39</v>
      </c>
      <c r="G267" t="s">
        <v>1602</v>
      </c>
    </row>
    <row r="268" spans="1:7" x14ac:dyDescent="0.55000000000000004">
      <c r="A268" s="1">
        <v>39714</v>
      </c>
      <c r="B268">
        <v>2008</v>
      </c>
      <c r="C268">
        <v>9</v>
      </c>
      <c r="D268" t="s">
        <v>1611</v>
      </c>
      <c r="E268" t="s">
        <v>1609</v>
      </c>
      <c r="F268">
        <v>39</v>
      </c>
      <c r="G268" t="s">
        <v>1596</v>
      </c>
    </row>
    <row r="269" spans="1:7" x14ac:dyDescent="0.55000000000000004">
      <c r="A269" s="1">
        <v>39715</v>
      </c>
      <c r="B269">
        <v>2008</v>
      </c>
      <c r="C269">
        <v>9</v>
      </c>
      <c r="D269" t="s">
        <v>1611</v>
      </c>
      <c r="E269" t="s">
        <v>1609</v>
      </c>
      <c r="F269">
        <v>39</v>
      </c>
      <c r="G269" t="s">
        <v>1597</v>
      </c>
    </row>
    <row r="270" spans="1:7" x14ac:dyDescent="0.55000000000000004">
      <c r="A270" s="1">
        <v>39716</v>
      </c>
      <c r="B270">
        <v>2008</v>
      </c>
      <c r="C270">
        <v>9</v>
      </c>
      <c r="D270" t="s">
        <v>1611</v>
      </c>
      <c r="E270" t="s">
        <v>1609</v>
      </c>
      <c r="F270">
        <v>39</v>
      </c>
      <c r="G270" t="s">
        <v>1598</v>
      </c>
    </row>
    <row r="271" spans="1:7" x14ac:dyDescent="0.55000000000000004">
      <c r="A271" s="1">
        <v>39717</v>
      </c>
      <c r="B271">
        <v>2008</v>
      </c>
      <c r="C271">
        <v>9</v>
      </c>
      <c r="D271" t="s">
        <v>1611</v>
      </c>
      <c r="E271" t="s">
        <v>1609</v>
      </c>
      <c r="F271">
        <v>39</v>
      </c>
      <c r="G271" t="s">
        <v>1599</v>
      </c>
    </row>
    <row r="272" spans="1:7" x14ac:dyDescent="0.55000000000000004">
      <c r="A272" s="1">
        <v>39718</v>
      </c>
      <c r="B272">
        <v>2008</v>
      </c>
      <c r="C272">
        <v>9</v>
      </c>
      <c r="D272" t="s">
        <v>1611</v>
      </c>
      <c r="E272" t="s">
        <v>1609</v>
      </c>
      <c r="F272">
        <v>39</v>
      </c>
      <c r="G272" t="s">
        <v>1600</v>
      </c>
    </row>
    <row r="273" spans="1:7" x14ac:dyDescent="0.55000000000000004">
      <c r="A273" s="1">
        <v>39719</v>
      </c>
      <c r="B273">
        <v>2008</v>
      </c>
      <c r="C273">
        <v>9</v>
      </c>
      <c r="D273" t="s">
        <v>1611</v>
      </c>
      <c r="E273" t="s">
        <v>1609</v>
      </c>
      <c r="F273">
        <v>40</v>
      </c>
      <c r="G273" t="s">
        <v>1601</v>
      </c>
    </row>
    <row r="274" spans="1:7" x14ac:dyDescent="0.55000000000000004">
      <c r="A274" s="1">
        <v>39720</v>
      </c>
      <c r="B274">
        <v>2008</v>
      </c>
      <c r="C274">
        <v>9</v>
      </c>
      <c r="D274" t="s">
        <v>1611</v>
      </c>
      <c r="E274" t="s">
        <v>1609</v>
      </c>
      <c r="F274">
        <v>40</v>
      </c>
      <c r="G274" t="s">
        <v>1602</v>
      </c>
    </row>
    <row r="275" spans="1:7" x14ac:dyDescent="0.55000000000000004">
      <c r="A275" s="1">
        <v>39721</v>
      </c>
      <c r="B275">
        <v>2008</v>
      </c>
      <c r="C275">
        <v>9</v>
      </c>
      <c r="D275" t="s">
        <v>1611</v>
      </c>
      <c r="E275" t="s">
        <v>1609</v>
      </c>
      <c r="F275">
        <v>40</v>
      </c>
      <c r="G275" t="s">
        <v>1596</v>
      </c>
    </row>
    <row r="276" spans="1:7" x14ac:dyDescent="0.55000000000000004">
      <c r="A276" s="1">
        <v>39722</v>
      </c>
      <c r="B276">
        <v>2008</v>
      </c>
      <c r="C276">
        <v>10</v>
      </c>
      <c r="D276" t="s">
        <v>1612</v>
      </c>
      <c r="E276" t="s">
        <v>1613</v>
      </c>
      <c r="F276">
        <v>40</v>
      </c>
      <c r="G276" t="s">
        <v>1597</v>
      </c>
    </row>
    <row r="277" spans="1:7" x14ac:dyDescent="0.55000000000000004">
      <c r="A277" s="1">
        <v>39723</v>
      </c>
      <c r="B277">
        <v>2008</v>
      </c>
      <c r="C277">
        <v>10</v>
      </c>
      <c r="D277" t="s">
        <v>1612</v>
      </c>
      <c r="E277" t="s">
        <v>1613</v>
      </c>
      <c r="F277">
        <v>40</v>
      </c>
      <c r="G277" t="s">
        <v>1598</v>
      </c>
    </row>
    <row r="278" spans="1:7" x14ac:dyDescent="0.55000000000000004">
      <c r="A278" s="1">
        <v>39724</v>
      </c>
      <c r="B278">
        <v>2008</v>
      </c>
      <c r="C278">
        <v>10</v>
      </c>
      <c r="D278" t="s">
        <v>1612</v>
      </c>
      <c r="E278" t="s">
        <v>1613</v>
      </c>
      <c r="F278">
        <v>40</v>
      </c>
      <c r="G278" t="s">
        <v>1599</v>
      </c>
    </row>
    <row r="279" spans="1:7" x14ac:dyDescent="0.55000000000000004">
      <c r="A279" s="1">
        <v>39725</v>
      </c>
      <c r="B279">
        <v>2008</v>
      </c>
      <c r="C279">
        <v>10</v>
      </c>
      <c r="D279" t="s">
        <v>1612</v>
      </c>
      <c r="E279" t="s">
        <v>1613</v>
      </c>
      <c r="F279">
        <v>40</v>
      </c>
      <c r="G279" t="s">
        <v>1600</v>
      </c>
    </row>
    <row r="280" spans="1:7" x14ac:dyDescent="0.55000000000000004">
      <c r="A280" s="1">
        <v>39726</v>
      </c>
      <c r="B280">
        <v>2008</v>
      </c>
      <c r="C280">
        <v>10</v>
      </c>
      <c r="D280" t="s">
        <v>1612</v>
      </c>
      <c r="E280" t="s">
        <v>1613</v>
      </c>
      <c r="F280">
        <v>41</v>
      </c>
      <c r="G280" t="s">
        <v>1601</v>
      </c>
    </row>
    <row r="281" spans="1:7" x14ac:dyDescent="0.55000000000000004">
      <c r="A281" s="1">
        <v>39727</v>
      </c>
      <c r="B281">
        <v>2008</v>
      </c>
      <c r="C281">
        <v>10</v>
      </c>
      <c r="D281" t="s">
        <v>1612</v>
      </c>
      <c r="E281" t="s">
        <v>1613</v>
      </c>
      <c r="F281">
        <v>41</v>
      </c>
      <c r="G281" t="s">
        <v>1602</v>
      </c>
    </row>
    <row r="282" spans="1:7" x14ac:dyDescent="0.55000000000000004">
      <c r="A282" s="1">
        <v>39728</v>
      </c>
      <c r="B282">
        <v>2008</v>
      </c>
      <c r="C282">
        <v>10</v>
      </c>
      <c r="D282" t="s">
        <v>1612</v>
      </c>
      <c r="E282" t="s">
        <v>1613</v>
      </c>
      <c r="F282">
        <v>41</v>
      </c>
      <c r="G282" t="s">
        <v>1596</v>
      </c>
    </row>
    <row r="283" spans="1:7" x14ac:dyDescent="0.55000000000000004">
      <c r="A283" s="1">
        <v>39729</v>
      </c>
      <c r="B283">
        <v>2008</v>
      </c>
      <c r="C283">
        <v>10</v>
      </c>
      <c r="D283" t="s">
        <v>1612</v>
      </c>
      <c r="E283" t="s">
        <v>1613</v>
      </c>
      <c r="F283">
        <v>41</v>
      </c>
      <c r="G283" t="s">
        <v>1597</v>
      </c>
    </row>
    <row r="284" spans="1:7" x14ac:dyDescent="0.55000000000000004">
      <c r="A284" s="1">
        <v>39730</v>
      </c>
      <c r="B284">
        <v>2008</v>
      </c>
      <c r="C284">
        <v>10</v>
      </c>
      <c r="D284" t="s">
        <v>1612</v>
      </c>
      <c r="E284" t="s">
        <v>1613</v>
      </c>
      <c r="F284">
        <v>41</v>
      </c>
      <c r="G284" t="s">
        <v>1598</v>
      </c>
    </row>
    <row r="285" spans="1:7" x14ac:dyDescent="0.55000000000000004">
      <c r="A285" s="1">
        <v>39731</v>
      </c>
      <c r="B285">
        <v>2008</v>
      </c>
      <c r="C285">
        <v>10</v>
      </c>
      <c r="D285" t="s">
        <v>1612</v>
      </c>
      <c r="E285" t="s">
        <v>1613</v>
      </c>
      <c r="F285">
        <v>41</v>
      </c>
      <c r="G285" t="s">
        <v>1599</v>
      </c>
    </row>
    <row r="286" spans="1:7" x14ac:dyDescent="0.55000000000000004">
      <c r="A286" s="1">
        <v>39732</v>
      </c>
      <c r="B286">
        <v>2008</v>
      </c>
      <c r="C286">
        <v>10</v>
      </c>
      <c r="D286" t="s">
        <v>1612</v>
      </c>
      <c r="E286" t="s">
        <v>1613</v>
      </c>
      <c r="F286">
        <v>41</v>
      </c>
      <c r="G286" t="s">
        <v>1600</v>
      </c>
    </row>
    <row r="287" spans="1:7" x14ac:dyDescent="0.55000000000000004">
      <c r="A287" s="1">
        <v>39733</v>
      </c>
      <c r="B287">
        <v>2008</v>
      </c>
      <c r="C287">
        <v>10</v>
      </c>
      <c r="D287" t="s">
        <v>1612</v>
      </c>
      <c r="E287" t="s">
        <v>1613</v>
      </c>
      <c r="F287">
        <v>42</v>
      </c>
      <c r="G287" t="s">
        <v>1601</v>
      </c>
    </row>
    <row r="288" spans="1:7" x14ac:dyDescent="0.55000000000000004">
      <c r="A288" s="1">
        <v>39734</v>
      </c>
      <c r="B288">
        <v>2008</v>
      </c>
      <c r="C288">
        <v>10</v>
      </c>
      <c r="D288" t="s">
        <v>1612</v>
      </c>
      <c r="E288" t="s">
        <v>1613</v>
      </c>
      <c r="F288">
        <v>42</v>
      </c>
      <c r="G288" t="s">
        <v>1602</v>
      </c>
    </row>
    <row r="289" spans="1:7" x14ac:dyDescent="0.55000000000000004">
      <c r="A289" s="1">
        <v>39735</v>
      </c>
      <c r="B289">
        <v>2008</v>
      </c>
      <c r="C289">
        <v>10</v>
      </c>
      <c r="D289" t="s">
        <v>1612</v>
      </c>
      <c r="E289" t="s">
        <v>1613</v>
      </c>
      <c r="F289">
        <v>42</v>
      </c>
      <c r="G289" t="s">
        <v>1596</v>
      </c>
    </row>
    <row r="290" spans="1:7" x14ac:dyDescent="0.55000000000000004">
      <c r="A290" s="1">
        <v>39736</v>
      </c>
      <c r="B290">
        <v>2008</v>
      </c>
      <c r="C290">
        <v>10</v>
      </c>
      <c r="D290" t="s">
        <v>1612</v>
      </c>
      <c r="E290" t="s">
        <v>1613</v>
      </c>
      <c r="F290">
        <v>42</v>
      </c>
      <c r="G290" t="s">
        <v>1597</v>
      </c>
    </row>
    <row r="291" spans="1:7" x14ac:dyDescent="0.55000000000000004">
      <c r="A291" s="1">
        <v>39737</v>
      </c>
      <c r="B291">
        <v>2008</v>
      </c>
      <c r="C291">
        <v>10</v>
      </c>
      <c r="D291" t="s">
        <v>1612</v>
      </c>
      <c r="E291" t="s">
        <v>1613</v>
      </c>
      <c r="F291">
        <v>42</v>
      </c>
      <c r="G291" t="s">
        <v>1598</v>
      </c>
    </row>
    <row r="292" spans="1:7" x14ac:dyDescent="0.55000000000000004">
      <c r="A292" s="1">
        <v>39738</v>
      </c>
      <c r="B292">
        <v>2008</v>
      </c>
      <c r="C292">
        <v>10</v>
      </c>
      <c r="D292" t="s">
        <v>1612</v>
      </c>
      <c r="E292" t="s">
        <v>1613</v>
      </c>
      <c r="F292">
        <v>42</v>
      </c>
      <c r="G292" t="s">
        <v>1599</v>
      </c>
    </row>
    <row r="293" spans="1:7" x14ac:dyDescent="0.55000000000000004">
      <c r="A293" s="1">
        <v>39739</v>
      </c>
      <c r="B293">
        <v>2008</v>
      </c>
      <c r="C293">
        <v>10</v>
      </c>
      <c r="D293" t="s">
        <v>1612</v>
      </c>
      <c r="E293" t="s">
        <v>1613</v>
      </c>
      <c r="F293">
        <v>42</v>
      </c>
      <c r="G293" t="s">
        <v>1600</v>
      </c>
    </row>
    <row r="294" spans="1:7" x14ac:dyDescent="0.55000000000000004">
      <c r="A294" s="1">
        <v>39740</v>
      </c>
      <c r="B294">
        <v>2008</v>
      </c>
      <c r="C294">
        <v>10</v>
      </c>
      <c r="D294" t="s">
        <v>1612</v>
      </c>
      <c r="E294" t="s">
        <v>1613</v>
      </c>
      <c r="F294">
        <v>43</v>
      </c>
      <c r="G294" t="s">
        <v>1601</v>
      </c>
    </row>
    <row r="295" spans="1:7" x14ac:dyDescent="0.55000000000000004">
      <c r="A295" s="1">
        <v>39741</v>
      </c>
      <c r="B295">
        <v>2008</v>
      </c>
      <c r="C295">
        <v>10</v>
      </c>
      <c r="D295" t="s">
        <v>1612</v>
      </c>
      <c r="E295" t="s">
        <v>1613</v>
      </c>
      <c r="F295">
        <v>43</v>
      </c>
      <c r="G295" t="s">
        <v>1602</v>
      </c>
    </row>
    <row r="296" spans="1:7" x14ac:dyDescent="0.55000000000000004">
      <c r="A296" s="1">
        <v>39742</v>
      </c>
      <c r="B296">
        <v>2008</v>
      </c>
      <c r="C296">
        <v>10</v>
      </c>
      <c r="D296" t="s">
        <v>1612</v>
      </c>
      <c r="E296" t="s">
        <v>1613</v>
      </c>
      <c r="F296">
        <v>43</v>
      </c>
      <c r="G296" t="s">
        <v>1596</v>
      </c>
    </row>
    <row r="297" spans="1:7" x14ac:dyDescent="0.55000000000000004">
      <c r="A297" s="1">
        <v>39743</v>
      </c>
      <c r="B297">
        <v>2008</v>
      </c>
      <c r="C297">
        <v>10</v>
      </c>
      <c r="D297" t="s">
        <v>1612</v>
      </c>
      <c r="E297" t="s">
        <v>1613</v>
      </c>
      <c r="F297">
        <v>43</v>
      </c>
      <c r="G297" t="s">
        <v>1597</v>
      </c>
    </row>
    <row r="298" spans="1:7" x14ac:dyDescent="0.55000000000000004">
      <c r="A298" s="1">
        <v>39744</v>
      </c>
      <c r="B298">
        <v>2008</v>
      </c>
      <c r="C298">
        <v>10</v>
      </c>
      <c r="D298" t="s">
        <v>1612</v>
      </c>
      <c r="E298" t="s">
        <v>1613</v>
      </c>
      <c r="F298">
        <v>43</v>
      </c>
      <c r="G298" t="s">
        <v>1598</v>
      </c>
    </row>
    <row r="299" spans="1:7" x14ac:dyDescent="0.55000000000000004">
      <c r="A299" s="1">
        <v>39745</v>
      </c>
      <c r="B299">
        <v>2008</v>
      </c>
      <c r="C299">
        <v>10</v>
      </c>
      <c r="D299" t="s">
        <v>1612</v>
      </c>
      <c r="E299" t="s">
        <v>1613</v>
      </c>
      <c r="F299">
        <v>43</v>
      </c>
      <c r="G299" t="s">
        <v>1599</v>
      </c>
    </row>
    <row r="300" spans="1:7" x14ac:dyDescent="0.55000000000000004">
      <c r="A300" s="1">
        <v>39746</v>
      </c>
      <c r="B300">
        <v>2008</v>
      </c>
      <c r="C300">
        <v>10</v>
      </c>
      <c r="D300" t="s">
        <v>1612</v>
      </c>
      <c r="E300" t="s">
        <v>1613</v>
      </c>
      <c r="F300">
        <v>43</v>
      </c>
      <c r="G300" t="s">
        <v>1600</v>
      </c>
    </row>
    <row r="301" spans="1:7" x14ac:dyDescent="0.55000000000000004">
      <c r="A301" s="1">
        <v>39747</v>
      </c>
      <c r="B301">
        <v>2008</v>
      </c>
      <c r="C301">
        <v>10</v>
      </c>
      <c r="D301" t="s">
        <v>1612</v>
      </c>
      <c r="E301" t="s">
        <v>1613</v>
      </c>
      <c r="F301">
        <v>44</v>
      </c>
      <c r="G301" t="s">
        <v>1601</v>
      </c>
    </row>
    <row r="302" spans="1:7" x14ac:dyDescent="0.55000000000000004">
      <c r="A302" s="1">
        <v>39748</v>
      </c>
      <c r="B302">
        <v>2008</v>
      </c>
      <c r="C302">
        <v>10</v>
      </c>
      <c r="D302" t="s">
        <v>1612</v>
      </c>
      <c r="E302" t="s">
        <v>1613</v>
      </c>
      <c r="F302">
        <v>44</v>
      </c>
      <c r="G302" t="s">
        <v>1602</v>
      </c>
    </row>
    <row r="303" spans="1:7" x14ac:dyDescent="0.55000000000000004">
      <c r="A303" s="1">
        <v>39749</v>
      </c>
      <c r="B303">
        <v>2008</v>
      </c>
      <c r="C303">
        <v>10</v>
      </c>
      <c r="D303" t="s">
        <v>1612</v>
      </c>
      <c r="E303" t="s">
        <v>1613</v>
      </c>
      <c r="F303">
        <v>44</v>
      </c>
      <c r="G303" t="s">
        <v>1596</v>
      </c>
    </row>
    <row r="304" spans="1:7" x14ac:dyDescent="0.55000000000000004">
      <c r="A304" s="1">
        <v>39750</v>
      </c>
      <c r="B304">
        <v>2008</v>
      </c>
      <c r="C304">
        <v>10</v>
      </c>
      <c r="D304" t="s">
        <v>1612</v>
      </c>
      <c r="E304" t="s">
        <v>1613</v>
      </c>
      <c r="F304">
        <v>44</v>
      </c>
      <c r="G304" t="s">
        <v>1597</v>
      </c>
    </row>
    <row r="305" spans="1:7" x14ac:dyDescent="0.55000000000000004">
      <c r="A305" s="1">
        <v>39751</v>
      </c>
      <c r="B305">
        <v>2008</v>
      </c>
      <c r="C305">
        <v>10</v>
      </c>
      <c r="D305" t="s">
        <v>1612</v>
      </c>
      <c r="E305" t="s">
        <v>1613</v>
      </c>
      <c r="F305">
        <v>44</v>
      </c>
      <c r="G305" t="s">
        <v>1598</v>
      </c>
    </row>
    <row r="306" spans="1:7" x14ac:dyDescent="0.55000000000000004">
      <c r="A306" s="1">
        <v>39752</v>
      </c>
      <c r="B306">
        <v>2008</v>
      </c>
      <c r="C306">
        <v>10</v>
      </c>
      <c r="D306" t="s">
        <v>1612</v>
      </c>
      <c r="E306" t="s">
        <v>1613</v>
      </c>
      <c r="F306">
        <v>44</v>
      </c>
      <c r="G306" t="s">
        <v>1599</v>
      </c>
    </row>
    <row r="307" spans="1:7" x14ac:dyDescent="0.55000000000000004">
      <c r="A307" s="1">
        <v>39753</v>
      </c>
      <c r="B307">
        <v>2008</v>
      </c>
      <c r="C307">
        <v>11</v>
      </c>
      <c r="D307" t="s">
        <v>1614</v>
      </c>
      <c r="E307" t="s">
        <v>1613</v>
      </c>
      <c r="F307">
        <v>44</v>
      </c>
      <c r="G307" t="s">
        <v>1600</v>
      </c>
    </row>
    <row r="308" spans="1:7" x14ac:dyDescent="0.55000000000000004">
      <c r="A308" s="1">
        <v>39754</v>
      </c>
      <c r="B308">
        <v>2008</v>
      </c>
      <c r="C308">
        <v>11</v>
      </c>
      <c r="D308" t="s">
        <v>1614</v>
      </c>
      <c r="E308" t="s">
        <v>1613</v>
      </c>
      <c r="F308">
        <v>45</v>
      </c>
      <c r="G308" t="s">
        <v>1601</v>
      </c>
    </row>
    <row r="309" spans="1:7" x14ac:dyDescent="0.55000000000000004">
      <c r="A309" s="1">
        <v>39755</v>
      </c>
      <c r="B309">
        <v>2008</v>
      </c>
      <c r="C309">
        <v>11</v>
      </c>
      <c r="D309" t="s">
        <v>1614</v>
      </c>
      <c r="E309" t="s">
        <v>1613</v>
      </c>
      <c r="F309">
        <v>45</v>
      </c>
      <c r="G309" t="s">
        <v>1602</v>
      </c>
    </row>
    <row r="310" spans="1:7" x14ac:dyDescent="0.55000000000000004">
      <c r="A310" s="1">
        <v>39756</v>
      </c>
      <c r="B310">
        <v>2008</v>
      </c>
      <c r="C310">
        <v>11</v>
      </c>
      <c r="D310" t="s">
        <v>1614</v>
      </c>
      <c r="E310" t="s">
        <v>1613</v>
      </c>
      <c r="F310">
        <v>45</v>
      </c>
      <c r="G310" t="s">
        <v>1596</v>
      </c>
    </row>
    <row r="311" spans="1:7" x14ac:dyDescent="0.55000000000000004">
      <c r="A311" s="1">
        <v>39757</v>
      </c>
      <c r="B311">
        <v>2008</v>
      </c>
      <c r="C311">
        <v>11</v>
      </c>
      <c r="D311" t="s">
        <v>1614</v>
      </c>
      <c r="E311" t="s">
        <v>1613</v>
      </c>
      <c r="F311">
        <v>45</v>
      </c>
      <c r="G311" t="s">
        <v>1597</v>
      </c>
    </row>
    <row r="312" spans="1:7" x14ac:dyDescent="0.55000000000000004">
      <c r="A312" s="1">
        <v>39758</v>
      </c>
      <c r="B312">
        <v>2008</v>
      </c>
      <c r="C312">
        <v>11</v>
      </c>
      <c r="D312" t="s">
        <v>1614</v>
      </c>
      <c r="E312" t="s">
        <v>1613</v>
      </c>
      <c r="F312">
        <v>45</v>
      </c>
      <c r="G312" t="s">
        <v>1598</v>
      </c>
    </row>
    <row r="313" spans="1:7" x14ac:dyDescent="0.55000000000000004">
      <c r="A313" s="1">
        <v>39759</v>
      </c>
      <c r="B313">
        <v>2008</v>
      </c>
      <c r="C313">
        <v>11</v>
      </c>
      <c r="D313" t="s">
        <v>1614</v>
      </c>
      <c r="E313" t="s">
        <v>1613</v>
      </c>
      <c r="F313">
        <v>45</v>
      </c>
      <c r="G313" t="s">
        <v>1599</v>
      </c>
    </row>
    <row r="314" spans="1:7" x14ac:dyDescent="0.55000000000000004">
      <c r="A314" s="1">
        <v>39760</v>
      </c>
      <c r="B314">
        <v>2008</v>
      </c>
      <c r="C314">
        <v>11</v>
      </c>
      <c r="D314" t="s">
        <v>1614</v>
      </c>
      <c r="E314" t="s">
        <v>1613</v>
      </c>
      <c r="F314">
        <v>45</v>
      </c>
      <c r="G314" t="s">
        <v>1600</v>
      </c>
    </row>
    <row r="315" spans="1:7" x14ac:dyDescent="0.55000000000000004">
      <c r="A315" s="1">
        <v>39761</v>
      </c>
      <c r="B315">
        <v>2008</v>
      </c>
      <c r="C315">
        <v>11</v>
      </c>
      <c r="D315" t="s">
        <v>1614</v>
      </c>
      <c r="E315" t="s">
        <v>1613</v>
      </c>
      <c r="F315">
        <v>46</v>
      </c>
      <c r="G315" t="s">
        <v>1601</v>
      </c>
    </row>
    <row r="316" spans="1:7" x14ac:dyDescent="0.55000000000000004">
      <c r="A316" s="1">
        <v>39762</v>
      </c>
      <c r="B316">
        <v>2008</v>
      </c>
      <c r="C316">
        <v>11</v>
      </c>
      <c r="D316" t="s">
        <v>1614</v>
      </c>
      <c r="E316" t="s">
        <v>1613</v>
      </c>
      <c r="F316">
        <v>46</v>
      </c>
      <c r="G316" t="s">
        <v>1602</v>
      </c>
    </row>
    <row r="317" spans="1:7" x14ac:dyDescent="0.55000000000000004">
      <c r="A317" s="1">
        <v>39763</v>
      </c>
      <c r="B317">
        <v>2008</v>
      </c>
      <c r="C317">
        <v>11</v>
      </c>
      <c r="D317" t="s">
        <v>1614</v>
      </c>
      <c r="E317" t="s">
        <v>1613</v>
      </c>
      <c r="F317">
        <v>46</v>
      </c>
      <c r="G317" t="s">
        <v>1596</v>
      </c>
    </row>
    <row r="318" spans="1:7" x14ac:dyDescent="0.55000000000000004">
      <c r="A318" s="1">
        <v>39764</v>
      </c>
      <c r="B318">
        <v>2008</v>
      </c>
      <c r="C318">
        <v>11</v>
      </c>
      <c r="D318" t="s">
        <v>1614</v>
      </c>
      <c r="E318" t="s">
        <v>1613</v>
      </c>
      <c r="F318">
        <v>46</v>
      </c>
      <c r="G318" t="s">
        <v>1597</v>
      </c>
    </row>
    <row r="319" spans="1:7" x14ac:dyDescent="0.55000000000000004">
      <c r="A319" s="1">
        <v>39765</v>
      </c>
      <c r="B319">
        <v>2008</v>
      </c>
      <c r="C319">
        <v>11</v>
      </c>
      <c r="D319" t="s">
        <v>1614</v>
      </c>
      <c r="E319" t="s">
        <v>1613</v>
      </c>
      <c r="F319">
        <v>46</v>
      </c>
      <c r="G319" t="s">
        <v>1598</v>
      </c>
    </row>
    <row r="320" spans="1:7" x14ac:dyDescent="0.55000000000000004">
      <c r="A320" s="1">
        <v>39766</v>
      </c>
      <c r="B320">
        <v>2008</v>
      </c>
      <c r="C320">
        <v>11</v>
      </c>
      <c r="D320" t="s">
        <v>1614</v>
      </c>
      <c r="E320" t="s">
        <v>1613</v>
      </c>
      <c r="F320">
        <v>46</v>
      </c>
      <c r="G320" t="s">
        <v>1599</v>
      </c>
    </row>
    <row r="321" spans="1:7" x14ac:dyDescent="0.55000000000000004">
      <c r="A321" s="1">
        <v>39767</v>
      </c>
      <c r="B321">
        <v>2008</v>
      </c>
      <c r="C321">
        <v>11</v>
      </c>
      <c r="D321" t="s">
        <v>1614</v>
      </c>
      <c r="E321" t="s">
        <v>1613</v>
      </c>
      <c r="F321">
        <v>46</v>
      </c>
      <c r="G321" t="s">
        <v>1600</v>
      </c>
    </row>
    <row r="322" spans="1:7" x14ac:dyDescent="0.55000000000000004">
      <c r="A322" s="1">
        <v>39768</v>
      </c>
      <c r="B322">
        <v>2008</v>
      </c>
      <c r="C322">
        <v>11</v>
      </c>
      <c r="D322" t="s">
        <v>1614</v>
      </c>
      <c r="E322" t="s">
        <v>1613</v>
      </c>
      <c r="F322">
        <v>47</v>
      </c>
      <c r="G322" t="s">
        <v>1601</v>
      </c>
    </row>
    <row r="323" spans="1:7" x14ac:dyDescent="0.55000000000000004">
      <c r="A323" s="1">
        <v>39769</v>
      </c>
      <c r="B323">
        <v>2008</v>
      </c>
      <c r="C323">
        <v>11</v>
      </c>
      <c r="D323" t="s">
        <v>1614</v>
      </c>
      <c r="E323" t="s">
        <v>1613</v>
      </c>
      <c r="F323">
        <v>47</v>
      </c>
      <c r="G323" t="s">
        <v>1602</v>
      </c>
    </row>
    <row r="324" spans="1:7" x14ac:dyDescent="0.55000000000000004">
      <c r="A324" s="1">
        <v>39770</v>
      </c>
      <c r="B324">
        <v>2008</v>
      </c>
      <c r="C324">
        <v>11</v>
      </c>
      <c r="D324" t="s">
        <v>1614</v>
      </c>
      <c r="E324" t="s">
        <v>1613</v>
      </c>
      <c r="F324">
        <v>47</v>
      </c>
      <c r="G324" t="s">
        <v>1596</v>
      </c>
    </row>
    <row r="325" spans="1:7" x14ac:dyDescent="0.55000000000000004">
      <c r="A325" s="1">
        <v>39771</v>
      </c>
      <c r="B325">
        <v>2008</v>
      </c>
      <c r="C325">
        <v>11</v>
      </c>
      <c r="D325" t="s">
        <v>1614</v>
      </c>
      <c r="E325" t="s">
        <v>1613</v>
      </c>
      <c r="F325">
        <v>47</v>
      </c>
      <c r="G325" t="s">
        <v>1597</v>
      </c>
    </row>
    <row r="326" spans="1:7" x14ac:dyDescent="0.55000000000000004">
      <c r="A326" s="1">
        <v>39772</v>
      </c>
      <c r="B326">
        <v>2008</v>
      </c>
      <c r="C326">
        <v>11</v>
      </c>
      <c r="D326" t="s">
        <v>1614</v>
      </c>
      <c r="E326" t="s">
        <v>1613</v>
      </c>
      <c r="F326">
        <v>47</v>
      </c>
      <c r="G326" t="s">
        <v>1598</v>
      </c>
    </row>
    <row r="327" spans="1:7" x14ac:dyDescent="0.55000000000000004">
      <c r="A327" s="1">
        <v>39773</v>
      </c>
      <c r="B327">
        <v>2008</v>
      </c>
      <c r="C327">
        <v>11</v>
      </c>
      <c r="D327" t="s">
        <v>1614</v>
      </c>
      <c r="E327" t="s">
        <v>1613</v>
      </c>
      <c r="F327">
        <v>47</v>
      </c>
      <c r="G327" t="s">
        <v>1599</v>
      </c>
    </row>
    <row r="328" spans="1:7" x14ac:dyDescent="0.55000000000000004">
      <c r="A328" s="1">
        <v>39774</v>
      </c>
      <c r="B328">
        <v>2008</v>
      </c>
      <c r="C328">
        <v>11</v>
      </c>
      <c r="D328" t="s">
        <v>1614</v>
      </c>
      <c r="E328" t="s">
        <v>1613</v>
      </c>
      <c r="F328">
        <v>47</v>
      </c>
      <c r="G328" t="s">
        <v>1600</v>
      </c>
    </row>
    <row r="329" spans="1:7" x14ac:dyDescent="0.55000000000000004">
      <c r="A329" s="1">
        <v>39775</v>
      </c>
      <c r="B329">
        <v>2008</v>
      </c>
      <c r="C329">
        <v>11</v>
      </c>
      <c r="D329" t="s">
        <v>1614</v>
      </c>
      <c r="E329" t="s">
        <v>1613</v>
      </c>
      <c r="F329">
        <v>48</v>
      </c>
      <c r="G329" t="s">
        <v>1601</v>
      </c>
    </row>
    <row r="330" spans="1:7" x14ac:dyDescent="0.55000000000000004">
      <c r="A330" s="1">
        <v>39776</v>
      </c>
      <c r="B330">
        <v>2008</v>
      </c>
      <c r="C330">
        <v>11</v>
      </c>
      <c r="D330" t="s">
        <v>1614</v>
      </c>
      <c r="E330" t="s">
        <v>1613</v>
      </c>
      <c r="F330">
        <v>48</v>
      </c>
      <c r="G330" t="s">
        <v>1602</v>
      </c>
    </row>
    <row r="331" spans="1:7" x14ac:dyDescent="0.55000000000000004">
      <c r="A331" s="1">
        <v>39777</v>
      </c>
      <c r="B331">
        <v>2008</v>
      </c>
      <c r="C331">
        <v>11</v>
      </c>
      <c r="D331" t="s">
        <v>1614</v>
      </c>
      <c r="E331" t="s">
        <v>1613</v>
      </c>
      <c r="F331">
        <v>48</v>
      </c>
      <c r="G331" t="s">
        <v>1596</v>
      </c>
    </row>
    <row r="332" spans="1:7" x14ac:dyDescent="0.55000000000000004">
      <c r="A332" s="1">
        <v>39778</v>
      </c>
      <c r="B332">
        <v>2008</v>
      </c>
      <c r="C332">
        <v>11</v>
      </c>
      <c r="D332" t="s">
        <v>1614</v>
      </c>
      <c r="E332" t="s">
        <v>1613</v>
      </c>
      <c r="F332">
        <v>48</v>
      </c>
      <c r="G332" t="s">
        <v>1597</v>
      </c>
    </row>
    <row r="333" spans="1:7" x14ac:dyDescent="0.55000000000000004">
      <c r="A333" s="1">
        <v>39779</v>
      </c>
      <c r="B333">
        <v>2008</v>
      </c>
      <c r="C333">
        <v>11</v>
      </c>
      <c r="D333" t="s">
        <v>1614</v>
      </c>
      <c r="E333" t="s">
        <v>1613</v>
      </c>
      <c r="F333">
        <v>48</v>
      </c>
      <c r="G333" t="s">
        <v>1598</v>
      </c>
    </row>
    <row r="334" spans="1:7" x14ac:dyDescent="0.55000000000000004">
      <c r="A334" s="1">
        <v>39780</v>
      </c>
      <c r="B334">
        <v>2008</v>
      </c>
      <c r="C334">
        <v>11</v>
      </c>
      <c r="D334" t="s">
        <v>1614</v>
      </c>
      <c r="E334" t="s">
        <v>1613</v>
      </c>
      <c r="F334">
        <v>48</v>
      </c>
      <c r="G334" t="s">
        <v>1599</v>
      </c>
    </row>
    <row r="335" spans="1:7" x14ac:dyDescent="0.55000000000000004">
      <c r="A335" s="1">
        <v>39781</v>
      </c>
      <c r="B335">
        <v>2008</v>
      </c>
      <c r="C335">
        <v>11</v>
      </c>
      <c r="D335" t="s">
        <v>1614</v>
      </c>
      <c r="E335" t="s">
        <v>1613</v>
      </c>
      <c r="F335">
        <v>48</v>
      </c>
      <c r="G335" t="s">
        <v>1600</v>
      </c>
    </row>
    <row r="336" spans="1:7" x14ac:dyDescent="0.55000000000000004">
      <c r="A336" s="1">
        <v>39782</v>
      </c>
      <c r="B336">
        <v>2008</v>
      </c>
      <c r="C336">
        <v>11</v>
      </c>
      <c r="D336" t="s">
        <v>1614</v>
      </c>
      <c r="E336" t="s">
        <v>1613</v>
      </c>
      <c r="F336">
        <v>49</v>
      </c>
      <c r="G336" t="s">
        <v>1601</v>
      </c>
    </row>
    <row r="337" spans="1:7" x14ac:dyDescent="0.55000000000000004">
      <c r="A337" s="1">
        <v>39783</v>
      </c>
      <c r="B337">
        <v>2008</v>
      </c>
      <c r="C337">
        <v>12</v>
      </c>
      <c r="D337" t="s">
        <v>1615</v>
      </c>
      <c r="E337" t="s">
        <v>1613</v>
      </c>
      <c r="F337">
        <v>49</v>
      </c>
      <c r="G337" t="s">
        <v>1602</v>
      </c>
    </row>
    <row r="338" spans="1:7" x14ac:dyDescent="0.55000000000000004">
      <c r="A338" s="1">
        <v>39784</v>
      </c>
      <c r="B338">
        <v>2008</v>
      </c>
      <c r="C338">
        <v>12</v>
      </c>
      <c r="D338" t="s">
        <v>1615</v>
      </c>
      <c r="E338" t="s">
        <v>1613</v>
      </c>
      <c r="F338">
        <v>49</v>
      </c>
      <c r="G338" t="s">
        <v>1596</v>
      </c>
    </row>
    <row r="339" spans="1:7" x14ac:dyDescent="0.55000000000000004">
      <c r="A339" s="1">
        <v>39785</v>
      </c>
      <c r="B339">
        <v>2008</v>
      </c>
      <c r="C339">
        <v>12</v>
      </c>
      <c r="D339" t="s">
        <v>1615</v>
      </c>
      <c r="E339" t="s">
        <v>1613</v>
      </c>
      <c r="F339">
        <v>49</v>
      </c>
      <c r="G339" t="s">
        <v>1597</v>
      </c>
    </row>
    <row r="340" spans="1:7" x14ac:dyDescent="0.55000000000000004">
      <c r="A340" s="1">
        <v>39786</v>
      </c>
      <c r="B340">
        <v>2008</v>
      </c>
      <c r="C340">
        <v>12</v>
      </c>
      <c r="D340" t="s">
        <v>1615</v>
      </c>
      <c r="E340" t="s">
        <v>1613</v>
      </c>
      <c r="F340">
        <v>49</v>
      </c>
      <c r="G340" t="s">
        <v>1598</v>
      </c>
    </row>
    <row r="341" spans="1:7" x14ac:dyDescent="0.55000000000000004">
      <c r="A341" s="1">
        <v>39787</v>
      </c>
      <c r="B341">
        <v>2008</v>
      </c>
      <c r="C341">
        <v>12</v>
      </c>
      <c r="D341" t="s">
        <v>1615</v>
      </c>
      <c r="E341" t="s">
        <v>1613</v>
      </c>
      <c r="F341">
        <v>49</v>
      </c>
      <c r="G341" t="s">
        <v>1599</v>
      </c>
    </row>
    <row r="342" spans="1:7" x14ac:dyDescent="0.55000000000000004">
      <c r="A342" s="1">
        <v>39788</v>
      </c>
      <c r="B342">
        <v>2008</v>
      </c>
      <c r="C342">
        <v>12</v>
      </c>
      <c r="D342" t="s">
        <v>1615</v>
      </c>
      <c r="E342" t="s">
        <v>1613</v>
      </c>
      <c r="F342">
        <v>49</v>
      </c>
      <c r="G342" t="s">
        <v>1600</v>
      </c>
    </row>
    <row r="343" spans="1:7" x14ac:dyDescent="0.55000000000000004">
      <c r="A343" s="1">
        <v>39789</v>
      </c>
      <c r="B343">
        <v>2008</v>
      </c>
      <c r="C343">
        <v>12</v>
      </c>
      <c r="D343" t="s">
        <v>1615</v>
      </c>
      <c r="E343" t="s">
        <v>1613</v>
      </c>
      <c r="F343">
        <v>50</v>
      </c>
      <c r="G343" t="s">
        <v>1601</v>
      </c>
    </row>
    <row r="344" spans="1:7" x14ac:dyDescent="0.55000000000000004">
      <c r="A344" s="1">
        <v>39790</v>
      </c>
      <c r="B344">
        <v>2008</v>
      </c>
      <c r="C344">
        <v>12</v>
      </c>
      <c r="D344" t="s">
        <v>1615</v>
      </c>
      <c r="E344" t="s">
        <v>1613</v>
      </c>
      <c r="F344">
        <v>50</v>
      </c>
      <c r="G344" t="s">
        <v>1602</v>
      </c>
    </row>
    <row r="345" spans="1:7" x14ac:dyDescent="0.55000000000000004">
      <c r="A345" s="1">
        <v>39791</v>
      </c>
      <c r="B345">
        <v>2008</v>
      </c>
      <c r="C345">
        <v>12</v>
      </c>
      <c r="D345" t="s">
        <v>1615</v>
      </c>
      <c r="E345" t="s">
        <v>1613</v>
      </c>
      <c r="F345">
        <v>50</v>
      </c>
      <c r="G345" t="s">
        <v>1596</v>
      </c>
    </row>
    <row r="346" spans="1:7" x14ac:dyDescent="0.55000000000000004">
      <c r="A346" s="1">
        <v>39792</v>
      </c>
      <c r="B346">
        <v>2008</v>
      </c>
      <c r="C346">
        <v>12</v>
      </c>
      <c r="D346" t="s">
        <v>1615</v>
      </c>
      <c r="E346" t="s">
        <v>1613</v>
      </c>
      <c r="F346">
        <v>50</v>
      </c>
      <c r="G346" t="s">
        <v>1597</v>
      </c>
    </row>
    <row r="347" spans="1:7" x14ac:dyDescent="0.55000000000000004">
      <c r="A347" s="1">
        <v>39793</v>
      </c>
      <c r="B347">
        <v>2008</v>
      </c>
      <c r="C347">
        <v>12</v>
      </c>
      <c r="D347" t="s">
        <v>1615</v>
      </c>
      <c r="E347" t="s">
        <v>1613</v>
      </c>
      <c r="F347">
        <v>50</v>
      </c>
      <c r="G347" t="s">
        <v>1598</v>
      </c>
    </row>
    <row r="348" spans="1:7" x14ac:dyDescent="0.55000000000000004">
      <c r="A348" s="1">
        <v>39794</v>
      </c>
      <c r="B348">
        <v>2008</v>
      </c>
      <c r="C348">
        <v>12</v>
      </c>
      <c r="D348" t="s">
        <v>1615</v>
      </c>
      <c r="E348" t="s">
        <v>1613</v>
      </c>
      <c r="F348">
        <v>50</v>
      </c>
      <c r="G348" t="s">
        <v>1599</v>
      </c>
    </row>
    <row r="349" spans="1:7" x14ac:dyDescent="0.55000000000000004">
      <c r="A349" s="1">
        <v>39795</v>
      </c>
      <c r="B349">
        <v>2008</v>
      </c>
      <c r="C349">
        <v>12</v>
      </c>
      <c r="D349" t="s">
        <v>1615</v>
      </c>
      <c r="E349" t="s">
        <v>1613</v>
      </c>
      <c r="F349">
        <v>50</v>
      </c>
      <c r="G349" t="s">
        <v>1600</v>
      </c>
    </row>
    <row r="350" spans="1:7" x14ac:dyDescent="0.55000000000000004">
      <c r="A350" s="1">
        <v>39796</v>
      </c>
      <c r="B350">
        <v>2008</v>
      </c>
      <c r="C350">
        <v>12</v>
      </c>
      <c r="D350" t="s">
        <v>1615</v>
      </c>
      <c r="E350" t="s">
        <v>1613</v>
      </c>
      <c r="F350">
        <v>51</v>
      </c>
      <c r="G350" t="s">
        <v>1601</v>
      </c>
    </row>
    <row r="351" spans="1:7" x14ac:dyDescent="0.55000000000000004">
      <c r="A351" s="1">
        <v>39797</v>
      </c>
      <c r="B351">
        <v>2008</v>
      </c>
      <c r="C351">
        <v>12</v>
      </c>
      <c r="D351" t="s">
        <v>1615</v>
      </c>
      <c r="E351" t="s">
        <v>1613</v>
      </c>
      <c r="F351">
        <v>51</v>
      </c>
      <c r="G351" t="s">
        <v>1602</v>
      </c>
    </row>
    <row r="352" spans="1:7" x14ac:dyDescent="0.55000000000000004">
      <c r="A352" s="1">
        <v>39798</v>
      </c>
      <c r="B352">
        <v>2008</v>
      </c>
      <c r="C352">
        <v>12</v>
      </c>
      <c r="D352" t="s">
        <v>1615</v>
      </c>
      <c r="E352" t="s">
        <v>1613</v>
      </c>
      <c r="F352">
        <v>51</v>
      </c>
      <c r="G352" t="s">
        <v>1596</v>
      </c>
    </row>
    <row r="353" spans="1:7" x14ac:dyDescent="0.55000000000000004">
      <c r="A353" s="1">
        <v>39799</v>
      </c>
      <c r="B353">
        <v>2008</v>
      </c>
      <c r="C353">
        <v>12</v>
      </c>
      <c r="D353" t="s">
        <v>1615</v>
      </c>
      <c r="E353" t="s">
        <v>1613</v>
      </c>
      <c r="F353">
        <v>51</v>
      </c>
      <c r="G353" t="s">
        <v>1597</v>
      </c>
    </row>
    <row r="354" spans="1:7" x14ac:dyDescent="0.55000000000000004">
      <c r="A354" s="1">
        <v>39800</v>
      </c>
      <c r="B354">
        <v>2008</v>
      </c>
      <c r="C354">
        <v>12</v>
      </c>
      <c r="D354" t="s">
        <v>1615</v>
      </c>
      <c r="E354" t="s">
        <v>1613</v>
      </c>
      <c r="F354">
        <v>51</v>
      </c>
      <c r="G354" t="s">
        <v>1598</v>
      </c>
    </row>
    <row r="355" spans="1:7" x14ac:dyDescent="0.55000000000000004">
      <c r="A355" s="1">
        <v>39801</v>
      </c>
      <c r="B355">
        <v>2008</v>
      </c>
      <c r="C355">
        <v>12</v>
      </c>
      <c r="D355" t="s">
        <v>1615</v>
      </c>
      <c r="E355" t="s">
        <v>1613</v>
      </c>
      <c r="F355">
        <v>51</v>
      </c>
      <c r="G355" t="s">
        <v>1599</v>
      </c>
    </row>
    <row r="356" spans="1:7" x14ac:dyDescent="0.55000000000000004">
      <c r="A356" s="1">
        <v>39802</v>
      </c>
      <c r="B356">
        <v>2008</v>
      </c>
      <c r="C356">
        <v>12</v>
      </c>
      <c r="D356" t="s">
        <v>1615</v>
      </c>
      <c r="E356" t="s">
        <v>1613</v>
      </c>
      <c r="F356">
        <v>51</v>
      </c>
      <c r="G356" t="s">
        <v>1600</v>
      </c>
    </row>
    <row r="357" spans="1:7" x14ac:dyDescent="0.55000000000000004">
      <c r="A357" s="1">
        <v>39803</v>
      </c>
      <c r="B357">
        <v>2008</v>
      </c>
      <c r="C357">
        <v>12</v>
      </c>
      <c r="D357" t="s">
        <v>1615</v>
      </c>
      <c r="E357" t="s">
        <v>1613</v>
      </c>
      <c r="F357">
        <v>52</v>
      </c>
      <c r="G357" t="s">
        <v>1601</v>
      </c>
    </row>
    <row r="358" spans="1:7" x14ac:dyDescent="0.55000000000000004">
      <c r="A358" s="1">
        <v>39804</v>
      </c>
      <c r="B358">
        <v>2008</v>
      </c>
      <c r="C358">
        <v>12</v>
      </c>
      <c r="D358" t="s">
        <v>1615</v>
      </c>
      <c r="E358" t="s">
        <v>1613</v>
      </c>
      <c r="F358">
        <v>52</v>
      </c>
      <c r="G358" t="s">
        <v>1602</v>
      </c>
    </row>
    <row r="359" spans="1:7" x14ac:dyDescent="0.55000000000000004">
      <c r="A359" s="1">
        <v>39805</v>
      </c>
      <c r="B359">
        <v>2008</v>
      </c>
      <c r="C359">
        <v>12</v>
      </c>
      <c r="D359" t="s">
        <v>1615</v>
      </c>
      <c r="E359" t="s">
        <v>1613</v>
      </c>
      <c r="F359">
        <v>52</v>
      </c>
      <c r="G359" t="s">
        <v>1596</v>
      </c>
    </row>
    <row r="360" spans="1:7" x14ac:dyDescent="0.55000000000000004">
      <c r="A360" s="1">
        <v>39806</v>
      </c>
      <c r="B360">
        <v>2008</v>
      </c>
      <c r="C360">
        <v>12</v>
      </c>
      <c r="D360" t="s">
        <v>1615</v>
      </c>
      <c r="E360" t="s">
        <v>1613</v>
      </c>
      <c r="F360">
        <v>52</v>
      </c>
      <c r="G360" t="s">
        <v>1597</v>
      </c>
    </row>
    <row r="361" spans="1:7" x14ac:dyDescent="0.55000000000000004">
      <c r="A361" s="1">
        <v>39807</v>
      </c>
      <c r="B361">
        <v>2008</v>
      </c>
      <c r="C361">
        <v>12</v>
      </c>
      <c r="D361" t="s">
        <v>1615</v>
      </c>
      <c r="E361" t="s">
        <v>1613</v>
      </c>
      <c r="F361">
        <v>52</v>
      </c>
      <c r="G361" t="s">
        <v>1598</v>
      </c>
    </row>
    <row r="362" spans="1:7" x14ac:dyDescent="0.55000000000000004">
      <c r="A362" s="1">
        <v>39808</v>
      </c>
      <c r="B362">
        <v>2008</v>
      </c>
      <c r="C362">
        <v>12</v>
      </c>
      <c r="D362" t="s">
        <v>1615</v>
      </c>
      <c r="E362" t="s">
        <v>1613</v>
      </c>
      <c r="F362">
        <v>52</v>
      </c>
      <c r="G362" t="s">
        <v>1599</v>
      </c>
    </row>
    <row r="363" spans="1:7" x14ac:dyDescent="0.55000000000000004">
      <c r="A363" s="1">
        <v>39809</v>
      </c>
      <c r="B363">
        <v>2008</v>
      </c>
      <c r="C363">
        <v>12</v>
      </c>
      <c r="D363" t="s">
        <v>1615</v>
      </c>
      <c r="E363" t="s">
        <v>1613</v>
      </c>
      <c r="F363">
        <v>52</v>
      </c>
      <c r="G363" t="s">
        <v>1600</v>
      </c>
    </row>
    <row r="364" spans="1:7" x14ac:dyDescent="0.55000000000000004">
      <c r="A364" s="1">
        <v>39810</v>
      </c>
      <c r="B364">
        <v>2008</v>
      </c>
      <c r="C364">
        <v>12</v>
      </c>
      <c r="D364" t="s">
        <v>1615</v>
      </c>
      <c r="E364" t="s">
        <v>1613</v>
      </c>
      <c r="F364">
        <v>53</v>
      </c>
      <c r="G364" t="s">
        <v>1601</v>
      </c>
    </row>
    <row r="365" spans="1:7" x14ac:dyDescent="0.55000000000000004">
      <c r="A365" s="1">
        <v>39811</v>
      </c>
      <c r="B365">
        <v>2008</v>
      </c>
      <c r="C365">
        <v>12</v>
      </c>
      <c r="D365" t="s">
        <v>1615</v>
      </c>
      <c r="E365" t="s">
        <v>1613</v>
      </c>
      <c r="F365">
        <v>53</v>
      </c>
      <c r="G365" t="s">
        <v>1602</v>
      </c>
    </row>
    <row r="366" spans="1:7" x14ac:dyDescent="0.55000000000000004">
      <c r="A366" s="1">
        <v>39812</v>
      </c>
      <c r="B366">
        <v>2008</v>
      </c>
      <c r="C366">
        <v>12</v>
      </c>
      <c r="D366" t="s">
        <v>1615</v>
      </c>
      <c r="E366" t="s">
        <v>1613</v>
      </c>
      <c r="F366">
        <v>53</v>
      </c>
      <c r="G366" t="s">
        <v>1596</v>
      </c>
    </row>
    <row r="367" spans="1:7" x14ac:dyDescent="0.55000000000000004">
      <c r="A367" s="1">
        <v>39813</v>
      </c>
      <c r="B367">
        <v>2008</v>
      </c>
      <c r="C367">
        <v>12</v>
      </c>
      <c r="D367" t="s">
        <v>1615</v>
      </c>
      <c r="E367" t="s">
        <v>1613</v>
      </c>
      <c r="F367">
        <v>53</v>
      </c>
      <c r="G367" t="s">
        <v>1597</v>
      </c>
    </row>
    <row r="368" spans="1:7" x14ac:dyDescent="0.55000000000000004">
      <c r="A368" s="1">
        <v>39814</v>
      </c>
      <c r="B368">
        <v>2009</v>
      </c>
      <c r="C368">
        <v>1</v>
      </c>
      <c r="D368" t="s">
        <v>1594</v>
      </c>
      <c r="E368" t="s">
        <v>1595</v>
      </c>
      <c r="F368">
        <v>1</v>
      </c>
      <c r="G368" t="s">
        <v>1598</v>
      </c>
    </row>
    <row r="369" spans="1:7" x14ac:dyDescent="0.55000000000000004">
      <c r="A369" s="1">
        <v>39815</v>
      </c>
      <c r="B369">
        <v>2009</v>
      </c>
      <c r="C369">
        <v>1</v>
      </c>
      <c r="D369" t="s">
        <v>1594</v>
      </c>
      <c r="E369" t="s">
        <v>1595</v>
      </c>
      <c r="F369">
        <v>1</v>
      </c>
      <c r="G369" t="s">
        <v>1599</v>
      </c>
    </row>
    <row r="370" spans="1:7" x14ac:dyDescent="0.55000000000000004">
      <c r="A370" s="1">
        <v>39816</v>
      </c>
      <c r="B370">
        <v>2009</v>
      </c>
      <c r="C370">
        <v>1</v>
      </c>
      <c r="D370" t="s">
        <v>1594</v>
      </c>
      <c r="E370" t="s">
        <v>1595</v>
      </c>
      <c r="F370">
        <v>1</v>
      </c>
      <c r="G370" t="s">
        <v>1600</v>
      </c>
    </row>
    <row r="371" spans="1:7" x14ac:dyDescent="0.55000000000000004">
      <c r="A371" s="1">
        <v>39817</v>
      </c>
      <c r="B371">
        <v>2009</v>
      </c>
      <c r="C371">
        <v>1</v>
      </c>
      <c r="D371" t="s">
        <v>1594</v>
      </c>
      <c r="E371" t="s">
        <v>1595</v>
      </c>
      <c r="F371">
        <v>2</v>
      </c>
      <c r="G371" t="s">
        <v>1601</v>
      </c>
    </row>
    <row r="372" spans="1:7" x14ac:dyDescent="0.55000000000000004">
      <c r="A372" s="1">
        <v>39818</v>
      </c>
      <c r="B372">
        <v>2009</v>
      </c>
      <c r="C372">
        <v>1</v>
      </c>
      <c r="D372" t="s">
        <v>1594</v>
      </c>
      <c r="E372" t="s">
        <v>1595</v>
      </c>
      <c r="F372">
        <v>2</v>
      </c>
      <c r="G372" t="s">
        <v>1602</v>
      </c>
    </row>
    <row r="373" spans="1:7" x14ac:dyDescent="0.55000000000000004">
      <c r="A373" s="1">
        <v>39819</v>
      </c>
      <c r="B373">
        <v>2009</v>
      </c>
      <c r="C373">
        <v>1</v>
      </c>
      <c r="D373" t="s">
        <v>1594</v>
      </c>
      <c r="E373" t="s">
        <v>1595</v>
      </c>
      <c r="F373">
        <v>2</v>
      </c>
      <c r="G373" t="s">
        <v>1596</v>
      </c>
    </row>
    <row r="374" spans="1:7" x14ac:dyDescent="0.55000000000000004">
      <c r="A374" s="1">
        <v>39820</v>
      </c>
      <c r="B374">
        <v>2009</v>
      </c>
      <c r="C374">
        <v>1</v>
      </c>
      <c r="D374" t="s">
        <v>1594</v>
      </c>
      <c r="E374" t="s">
        <v>1595</v>
      </c>
      <c r="F374">
        <v>2</v>
      </c>
      <c r="G374" t="s">
        <v>1597</v>
      </c>
    </row>
    <row r="375" spans="1:7" x14ac:dyDescent="0.55000000000000004">
      <c r="A375" s="1">
        <v>39821</v>
      </c>
      <c r="B375">
        <v>2009</v>
      </c>
      <c r="C375">
        <v>1</v>
      </c>
      <c r="D375" t="s">
        <v>1594</v>
      </c>
      <c r="E375" t="s">
        <v>1595</v>
      </c>
      <c r="F375">
        <v>2</v>
      </c>
      <c r="G375" t="s">
        <v>1598</v>
      </c>
    </row>
    <row r="376" spans="1:7" x14ac:dyDescent="0.55000000000000004">
      <c r="A376" s="1">
        <v>39822</v>
      </c>
      <c r="B376">
        <v>2009</v>
      </c>
      <c r="C376">
        <v>1</v>
      </c>
      <c r="D376" t="s">
        <v>1594</v>
      </c>
      <c r="E376" t="s">
        <v>1595</v>
      </c>
      <c r="F376">
        <v>2</v>
      </c>
      <c r="G376" t="s">
        <v>1599</v>
      </c>
    </row>
    <row r="377" spans="1:7" x14ac:dyDescent="0.55000000000000004">
      <c r="A377" s="1">
        <v>39823</v>
      </c>
      <c r="B377">
        <v>2009</v>
      </c>
      <c r="C377">
        <v>1</v>
      </c>
      <c r="D377" t="s">
        <v>1594</v>
      </c>
      <c r="E377" t="s">
        <v>1595</v>
      </c>
      <c r="F377">
        <v>2</v>
      </c>
      <c r="G377" t="s">
        <v>1600</v>
      </c>
    </row>
    <row r="378" spans="1:7" x14ac:dyDescent="0.55000000000000004">
      <c r="A378" s="1">
        <v>39824</v>
      </c>
      <c r="B378">
        <v>2009</v>
      </c>
      <c r="C378">
        <v>1</v>
      </c>
      <c r="D378" t="s">
        <v>1594</v>
      </c>
      <c r="E378" t="s">
        <v>1595</v>
      </c>
      <c r="F378">
        <v>3</v>
      </c>
      <c r="G378" t="s">
        <v>1601</v>
      </c>
    </row>
    <row r="379" spans="1:7" x14ac:dyDescent="0.55000000000000004">
      <c r="A379" s="1">
        <v>39825</v>
      </c>
      <c r="B379">
        <v>2009</v>
      </c>
      <c r="C379">
        <v>1</v>
      </c>
      <c r="D379" t="s">
        <v>1594</v>
      </c>
      <c r="E379" t="s">
        <v>1595</v>
      </c>
      <c r="F379">
        <v>3</v>
      </c>
      <c r="G379" t="s">
        <v>1602</v>
      </c>
    </row>
    <row r="380" spans="1:7" x14ac:dyDescent="0.55000000000000004">
      <c r="A380" s="1">
        <v>39826</v>
      </c>
      <c r="B380">
        <v>2009</v>
      </c>
      <c r="C380">
        <v>1</v>
      </c>
      <c r="D380" t="s">
        <v>1594</v>
      </c>
      <c r="E380" t="s">
        <v>1595</v>
      </c>
      <c r="F380">
        <v>3</v>
      </c>
      <c r="G380" t="s">
        <v>1596</v>
      </c>
    </row>
    <row r="381" spans="1:7" x14ac:dyDescent="0.55000000000000004">
      <c r="A381" s="1">
        <v>39827</v>
      </c>
      <c r="B381">
        <v>2009</v>
      </c>
      <c r="C381">
        <v>1</v>
      </c>
      <c r="D381" t="s">
        <v>1594</v>
      </c>
      <c r="E381" t="s">
        <v>1595</v>
      </c>
      <c r="F381">
        <v>3</v>
      </c>
      <c r="G381" t="s">
        <v>1597</v>
      </c>
    </row>
    <row r="382" spans="1:7" x14ac:dyDescent="0.55000000000000004">
      <c r="A382" s="1">
        <v>39828</v>
      </c>
      <c r="B382">
        <v>2009</v>
      </c>
      <c r="C382">
        <v>1</v>
      </c>
      <c r="D382" t="s">
        <v>1594</v>
      </c>
      <c r="E382" t="s">
        <v>1595</v>
      </c>
      <c r="F382">
        <v>3</v>
      </c>
      <c r="G382" t="s">
        <v>1598</v>
      </c>
    </row>
    <row r="383" spans="1:7" x14ac:dyDescent="0.55000000000000004">
      <c r="A383" s="1">
        <v>39829</v>
      </c>
      <c r="B383">
        <v>2009</v>
      </c>
      <c r="C383">
        <v>1</v>
      </c>
      <c r="D383" t="s">
        <v>1594</v>
      </c>
      <c r="E383" t="s">
        <v>1595</v>
      </c>
      <c r="F383">
        <v>3</v>
      </c>
      <c r="G383" t="s">
        <v>1599</v>
      </c>
    </row>
    <row r="384" spans="1:7" x14ac:dyDescent="0.55000000000000004">
      <c r="A384" s="1">
        <v>39830</v>
      </c>
      <c r="B384">
        <v>2009</v>
      </c>
      <c r="C384">
        <v>1</v>
      </c>
      <c r="D384" t="s">
        <v>1594</v>
      </c>
      <c r="E384" t="s">
        <v>1595</v>
      </c>
      <c r="F384">
        <v>3</v>
      </c>
      <c r="G384" t="s">
        <v>1600</v>
      </c>
    </row>
    <row r="385" spans="1:7" x14ac:dyDescent="0.55000000000000004">
      <c r="A385" s="1">
        <v>39831</v>
      </c>
      <c r="B385">
        <v>2009</v>
      </c>
      <c r="C385">
        <v>1</v>
      </c>
      <c r="D385" t="s">
        <v>1594</v>
      </c>
      <c r="E385" t="s">
        <v>1595</v>
      </c>
      <c r="F385">
        <v>4</v>
      </c>
      <c r="G385" t="s">
        <v>1601</v>
      </c>
    </row>
    <row r="386" spans="1:7" x14ac:dyDescent="0.55000000000000004">
      <c r="A386" s="1">
        <v>39832</v>
      </c>
      <c r="B386">
        <v>2009</v>
      </c>
      <c r="C386">
        <v>1</v>
      </c>
      <c r="D386" t="s">
        <v>1594</v>
      </c>
      <c r="E386" t="s">
        <v>1595</v>
      </c>
      <c r="F386">
        <v>4</v>
      </c>
      <c r="G386" t="s">
        <v>1602</v>
      </c>
    </row>
    <row r="387" spans="1:7" x14ac:dyDescent="0.55000000000000004">
      <c r="A387" s="1">
        <v>39833</v>
      </c>
      <c r="B387">
        <v>2009</v>
      </c>
      <c r="C387">
        <v>1</v>
      </c>
      <c r="D387" t="s">
        <v>1594</v>
      </c>
      <c r="E387" t="s">
        <v>1595</v>
      </c>
      <c r="F387">
        <v>4</v>
      </c>
      <c r="G387" t="s">
        <v>1596</v>
      </c>
    </row>
    <row r="388" spans="1:7" x14ac:dyDescent="0.55000000000000004">
      <c r="A388" s="1">
        <v>39834</v>
      </c>
      <c r="B388">
        <v>2009</v>
      </c>
      <c r="C388">
        <v>1</v>
      </c>
      <c r="D388" t="s">
        <v>1594</v>
      </c>
      <c r="E388" t="s">
        <v>1595</v>
      </c>
      <c r="F388">
        <v>4</v>
      </c>
      <c r="G388" t="s">
        <v>1597</v>
      </c>
    </row>
    <row r="389" spans="1:7" x14ac:dyDescent="0.55000000000000004">
      <c r="A389" s="1">
        <v>39835</v>
      </c>
      <c r="B389">
        <v>2009</v>
      </c>
      <c r="C389">
        <v>1</v>
      </c>
      <c r="D389" t="s">
        <v>1594</v>
      </c>
      <c r="E389" t="s">
        <v>1595</v>
      </c>
      <c r="F389">
        <v>4</v>
      </c>
      <c r="G389" t="s">
        <v>1598</v>
      </c>
    </row>
    <row r="390" spans="1:7" x14ac:dyDescent="0.55000000000000004">
      <c r="A390" s="1">
        <v>39836</v>
      </c>
      <c r="B390">
        <v>2009</v>
      </c>
      <c r="C390">
        <v>1</v>
      </c>
      <c r="D390" t="s">
        <v>1594</v>
      </c>
      <c r="E390" t="s">
        <v>1595</v>
      </c>
      <c r="F390">
        <v>4</v>
      </c>
      <c r="G390" t="s">
        <v>1599</v>
      </c>
    </row>
    <row r="391" spans="1:7" x14ac:dyDescent="0.55000000000000004">
      <c r="A391" s="1">
        <v>39837</v>
      </c>
      <c r="B391">
        <v>2009</v>
      </c>
      <c r="C391">
        <v>1</v>
      </c>
      <c r="D391" t="s">
        <v>1594</v>
      </c>
      <c r="E391" t="s">
        <v>1595</v>
      </c>
      <c r="F391">
        <v>4</v>
      </c>
      <c r="G391" t="s">
        <v>1600</v>
      </c>
    </row>
    <row r="392" spans="1:7" x14ac:dyDescent="0.55000000000000004">
      <c r="A392" s="1">
        <v>39838</v>
      </c>
      <c r="B392">
        <v>2009</v>
      </c>
      <c r="C392">
        <v>1</v>
      </c>
      <c r="D392" t="s">
        <v>1594</v>
      </c>
      <c r="E392" t="s">
        <v>1595</v>
      </c>
      <c r="F392">
        <v>5</v>
      </c>
      <c r="G392" t="s">
        <v>1601</v>
      </c>
    </row>
    <row r="393" spans="1:7" x14ac:dyDescent="0.55000000000000004">
      <c r="A393" s="1">
        <v>39839</v>
      </c>
      <c r="B393">
        <v>2009</v>
      </c>
      <c r="C393">
        <v>1</v>
      </c>
      <c r="D393" t="s">
        <v>1594</v>
      </c>
      <c r="E393" t="s">
        <v>1595</v>
      </c>
      <c r="F393">
        <v>5</v>
      </c>
      <c r="G393" t="s">
        <v>1602</v>
      </c>
    </row>
    <row r="394" spans="1:7" x14ac:dyDescent="0.55000000000000004">
      <c r="A394" s="1">
        <v>39840</v>
      </c>
      <c r="B394">
        <v>2009</v>
      </c>
      <c r="C394">
        <v>1</v>
      </c>
      <c r="D394" t="s">
        <v>1594</v>
      </c>
      <c r="E394" t="s">
        <v>1595</v>
      </c>
      <c r="F394">
        <v>5</v>
      </c>
      <c r="G394" t="s">
        <v>1596</v>
      </c>
    </row>
    <row r="395" spans="1:7" x14ac:dyDescent="0.55000000000000004">
      <c r="A395" s="1">
        <v>39841</v>
      </c>
      <c r="B395">
        <v>2009</v>
      </c>
      <c r="C395">
        <v>1</v>
      </c>
      <c r="D395" t="s">
        <v>1594</v>
      </c>
      <c r="E395" t="s">
        <v>1595</v>
      </c>
      <c r="F395">
        <v>5</v>
      </c>
      <c r="G395" t="s">
        <v>1597</v>
      </c>
    </row>
    <row r="396" spans="1:7" x14ac:dyDescent="0.55000000000000004">
      <c r="A396" s="1">
        <v>39842</v>
      </c>
      <c r="B396">
        <v>2009</v>
      </c>
      <c r="C396">
        <v>1</v>
      </c>
      <c r="D396" t="s">
        <v>1594</v>
      </c>
      <c r="E396" t="s">
        <v>1595</v>
      </c>
      <c r="F396">
        <v>5</v>
      </c>
      <c r="G396" t="s">
        <v>1598</v>
      </c>
    </row>
    <row r="397" spans="1:7" x14ac:dyDescent="0.55000000000000004">
      <c r="A397" s="1">
        <v>39843</v>
      </c>
      <c r="B397">
        <v>2009</v>
      </c>
      <c r="C397">
        <v>1</v>
      </c>
      <c r="D397" t="s">
        <v>1594</v>
      </c>
      <c r="E397" t="s">
        <v>1595</v>
      </c>
      <c r="F397">
        <v>5</v>
      </c>
      <c r="G397" t="s">
        <v>1599</v>
      </c>
    </row>
    <row r="398" spans="1:7" x14ac:dyDescent="0.55000000000000004">
      <c r="A398" s="1">
        <v>39844</v>
      </c>
      <c r="B398">
        <v>2009</v>
      </c>
      <c r="C398">
        <v>1</v>
      </c>
      <c r="D398" t="s">
        <v>1594</v>
      </c>
      <c r="E398" t="s">
        <v>1595</v>
      </c>
      <c r="F398">
        <v>5</v>
      </c>
      <c r="G398" t="s">
        <v>1600</v>
      </c>
    </row>
    <row r="399" spans="1:7" x14ac:dyDescent="0.55000000000000004">
      <c r="A399" s="1">
        <v>39845</v>
      </c>
      <c r="B399">
        <v>2009</v>
      </c>
      <c r="C399">
        <v>2</v>
      </c>
      <c r="D399" t="s">
        <v>1603</v>
      </c>
      <c r="E399" t="s">
        <v>1595</v>
      </c>
      <c r="F399">
        <v>6</v>
      </c>
      <c r="G399" t="s">
        <v>1601</v>
      </c>
    </row>
    <row r="400" spans="1:7" x14ac:dyDescent="0.55000000000000004">
      <c r="A400" s="1">
        <v>39846</v>
      </c>
      <c r="B400">
        <v>2009</v>
      </c>
      <c r="C400">
        <v>2</v>
      </c>
      <c r="D400" t="s">
        <v>1603</v>
      </c>
      <c r="E400" t="s">
        <v>1595</v>
      </c>
      <c r="F400">
        <v>6</v>
      </c>
      <c r="G400" t="s">
        <v>1602</v>
      </c>
    </row>
    <row r="401" spans="1:7" x14ac:dyDescent="0.55000000000000004">
      <c r="A401" s="1">
        <v>39847</v>
      </c>
      <c r="B401">
        <v>2009</v>
      </c>
      <c r="C401">
        <v>2</v>
      </c>
      <c r="D401" t="s">
        <v>1603</v>
      </c>
      <c r="E401" t="s">
        <v>1595</v>
      </c>
      <c r="F401">
        <v>6</v>
      </c>
      <c r="G401" t="s">
        <v>1596</v>
      </c>
    </row>
    <row r="402" spans="1:7" x14ac:dyDescent="0.55000000000000004">
      <c r="A402" s="1">
        <v>39848</v>
      </c>
      <c r="B402">
        <v>2009</v>
      </c>
      <c r="C402">
        <v>2</v>
      </c>
      <c r="D402" t="s">
        <v>1603</v>
      </c>
      <c r="E402" t="s">
        <v>1595</v>
      </c>
      <c r="F402">
        <v>6</v>
      </c>
      <c r="G402" t="s">
        <v>1597</v>
      </c>
    </row>
    <row r="403" spans="1:7" x14ac:dyDescent="0.55000000000000004">
      <c r="A403" s="1">
        <v>39849</v>
      </c>
      <c r="B403">
        <v>2009</v>
      </c>
      <c r="C403">
        <v>2</v>
      </c>
      <c r="D403" t="s">
        <v>1603</v>
      </c>
      <c r="E403" t="s">
        <v>1595</v>
      </c>
      <c r="F403">
        <v>6</v>
      </c>
      <c r="G403" t="s">
        <v>1598</v>
      </c>
    </row>
    <row r="404" spans="1:7" x14ac:dyDescent="0.55000000000000004">
      <c r="A404" s="1">
        <v>39850</v>
      </c>
      <c r="B404">
        <v>2009</v>
      </c>
      <c r="C404">
        <v>2</v>
      </c>
      <c r="D404" t="s">
        <v>1603</v>
      </c>
      <c r="E404" t="s">
        <v>1595</v>
      </c>
      <c r="F404">
        <v>6</v>
      </c>
      <c r="G404" t="s">
        <v>1599</v>
      </c>
    </row>
    <row r="405" spans="1:7" x14ac:dyDescent="0.55000000000000004">
      <c r="A405" s="1">
        <v>39851</v>
      </c>
      <c r="B405">
        <v>2009</v>
      </c>
      <c r="C405">
        <v>2</v>
      </c>
      <c r="D405" t="s">
        <v>1603</v>
      </c>
      <c r="E405" t="s">
        <v>1595</v>
      </c>
      <c r="F405">
        <v>6</v>
      </c>
      <c r="G405" t="s">
        <v>1600</v>
      </c>
    </row>
    <row r="406" spans="1:7" x14ac:dyDescent="0.55000000000000004">
      <c r="A406" s="1">
        <v>39852</v>
      </c>
      <c r="B406">
        <v>2009</v>
      </c>
      <c r="C406">
        <v>2</v>
      </c>
      <c r="D406" t="s">
        <v>1603</v>
      </c>
      <c r="E406" t="s">
        <v>1595</v>
      </c>
      <c r="F406">
        <v>7</v>
      </c>
      <c r="G406" t="s">
        <v>1601</v>
      </c>
    </row>
    <row r="407" spans="1:7" x14ac:dyDescent="0.55000000000000004">
      <c r="A407" s="1">
        <v>39853</v>
      </c>
      <c r="B407">
        <v>2009</v>
      </c>
      <c r="C407">
        <v>2</v>
      </c>
      <c r="D407" t="s">
        <v>1603</v>
      </c>
      <c r="E407" t="s">
        <v>1595</v>
      </c>
      <c r="F407">
        <v>7</v>
      </c>
      <c r="G407" t="s">
        <v>1602</v>
      </c>
    </row>
    <row r="408" spans="1:7" x14ac:dyDescent="0.55000000000000004">
      <c r="A408" s="1">
        <v>39854</v>
      </c>
      <c r="B408">
        <v>2009</v>
      </c>
      <c r="C408">
        <v>2</v>
      </c>
      <c r="D408" t="s">
        <v>1603</v>
      </c>
      <c r="E408" t="s">
        <v>1595</v>
      </c>
      <c r="F408">
        <v>7</v>
      </c>
      <c r="G408" t="s">
        <v>1596</v>
      </c>
    </row>
    <row r="409" spans="1:7" x14ac:dyDescent="0.55000000000000004">
      <c r="A409" s="1">
        <v>39855</v>
      </c>
      <c r="B409">
        <v>2009</v>
      </c>
      <c r="C409">
        <v>2</v>
      </c>
      <c r="D409" t="s">
        <v>1603</v>
      </c>
      <c r="E409" t="s">
        <v>1595</v>
      </c>
      <c r="F409">
        <v>7</v>
      </c>
      <c r="G409" t="s">
        <v>1597</v>
      </c>
    </row>
    <row r="410" spans="1:7" x14ac:dyDescent="0.55000000000000004">
      <c r="A410" s="1">
        <v>39856</v>
      </c>
      <c r="B410">
        <v>2009</v>
      </c>
      <c r="C410">
        <v>2</v>
      </c>
      <c r="D410" t="s">
        <v>1603</v>
      </c>
      <c r="E410" t="s">
        <v>1595</v>
      </c>
      <c r="F410">
        <v>7</v>
      </c>
      <c r="G410" t="s">
        <v>1598</v>
      </c>
    </row>
    <row r="411" spans="1:7" x14ac:dyDescent="0.55000000000000004">
      <c r="A411" s="1">
        <v>39857</v>
      </c>
      <c r="B411">
        <v>2009</v>
      </c>
      <c r="C411">
        <v>2</v>
      </c>
      <c r="D411" t="s">
        <v>1603</v>
      </c>
      <c r="E411" t="s">
        <v>1595</v>
      </c>
      <c r="F411">
        <v>7</v>
      </c>
      <c r="G411" t="s">
        <v>1599</v>
      </c>
    </row>
    <row r="412" spans="1:7" x14ac:dyDescent="0.55000000000000004">
      <c r="A412" s="1">
        <v>39858</v>
      </c>
      <c r="B412">
        <v>2009</v>
      </c>
      <c r="C412">
        <v>2</v>
      </c>
      <c r="D412" t="s">
        <v>1603</v>
      </c>
      <c r="E412" t="s">
        <v>1595</v>
      </c>
      <c r="F412">
        <v>7</v>
      </c>
      <c r="G412" t="s">
        <v>1600</v>
      </c>
    </row>
    <row r="413" spans="1:7" x14ac:dyDescent="0.55000000000000004">
      <c r="A413" s="1">
        <v>39859</v>
      </c>
      <c r="B413">
        <v>2009</v>
      </c>
      <c r="C413">
        <v>2</v>
      </c>
      <c r="D413" t="s">
        <v>1603</v>
      </c>
      <c r="E413" t="s">
        <v>1595</v>
      </c>
      <c r="F413">
        <v>8</v>
      </c>
      <c r="G413" t="s">
        <v>1601</v>
      </c>
    </row>
    <row r="414" spans="1:7" x14ac:dyDescent="0.55000000000000004">
      <c r="A414" s="1">
        <v>39860</v>
      </c>
      <c r="B414">
        <v>2009</v>
      </c>
      <c r="C414">
        <v>2</v>
      </c>
      <c r="D414" t="s">
        <v>1603</v>
      </c>
      <c r="E414" t="s">
        <v>1595</v>
      </c>
      <c r="F414">
        <v>8</v>
      </c>
      <c r="G414" t="s">
        <v>1602</v>
      </c>
    </row>
    <row r="415" spans="1:7" x14ac:dyDescent="0.55000000000000004">
      <c r="A415" s="1">
        <v>39861</v>
      </c>
      <c r="B415">
        <v>2009</v>
      </c>
      <c r="C415">
        <v>2</v>
      </c>
      <c r="D415" t="s">
        <v>1603</v>
      </c>
      <c r="E415" t="s">
        <v>1595</v>
      </c>
      <c r="F415">
        <v>8</v>
      </c>
      <c r="G415" t="s">
        <v>1596</v>
      </c>
    </row>
    <row r="416" spans="1:7" x14ac:dyDescent="0.55000000000000004">
      <c r="A416" s="1">
        <v>39862</v>
      </c>
      <c r="B416">
        <v>2009</v>
      </c>
      <c r="C416">
        <v>2</v>
      </c>
      <c r="D416" t="s">
        <v>1603</v>
      </c>
      <c r="E416" t="s">
        <v>1595</v>
      </c>
      <c r="F416">
        <v>8</v>
      </c>
      <c r="G416" t="s">
        <v>1597</v>
      </c>
    </row>
    <row r="417" spans="1:7" x14ac:dyDescent="0.55000000000000004">
      <c r="A417" s="1">
        <v>39863</v>
      </c>
      <c r="B417">
        <v>2009</v>
      </c>
      <c r="C417">
        <v>2</v>
      </c>
      <c r="D417" t="s">
        <v>1603</v>
      </c>
      <c r="E417" t="s">
        <v>1595</v>
      </c>
      <c r="F417">
        <v>8</v>
      </c>
      <c r="G417" t="s">
        <v>1598</v>
      </c>
    </row>
    <row r="418" spans="1:7" x14ac:dyDescent="0.55000000000000004">
      <c r="A418" s="1">
        <v>39864</v>
      </c>
      <c r="B418">
        <v>2009</v>
      </c>
      <c r="C418">
        <v>2</v>
      </c>
      <c r="D418" t="s">
        <v>1603</v>
      </c>
      <c r="E418" t="s">
        <v>1595</v>
      </c>
      <c r="F418">
        <v>8</v>
      </c>
      <c r="G418" t="s">
        <v>1599</v>
      </c>
    </row>
    <row r="419" spans="1:7" x14ac:dyDescent="0.55000000000000004">
      <c r="A419" s="1">
        <v>39865</v>
      </c>
      <c r="B419">
        <v>2009</v>
      </c>
      <c r="C419">
        <v>2</v>
      </c>
      <c r="D419" t="s">
        <v>1603</v>
      </c>
      <c r="E419" t="s">
        <v>1595</v>
      </c>
      <c r="F419">
        <v>8</v>
      </c>
      <c r="G419" t="s">
        <v>1600</v>
      </c>
    </row>
    <row r="420" spans="1:7" x14ac:dyDescent="0.55000000000000004">
      <c r="A420" s="1">
        <v>39866</v>
      </c>
      <c r="B420">
        <v>2009</v>
      </c>
      <c r="C420">
        <v>2</v>
      </c>
      <c r="D420" t="s">
        <v>1603</v>
      </c>
      <c r="E420" t="s">
        <v>1595</v>
      </c>
      <c r="F420">
        <v>9</v>
      </c>
      <c r="G420" t="s">
        <v>1601</v>
      </c>
    </row>
    <row r="421" spans="1:7" x14ac:dyDescent="0.55000000000000004">
      <c r="A421" s="1">
        <v>39867</v>
      </c>
      <c r="B421">
        <v>2009</v>
      </c>
      <c r="C421">
        <v>2</v>
      </c>
      <c r="D421" t="s">
        <v>1603</v>
      </c>
      <c r="E421" t="s">
        <v>1595</v>
      </c>
      <c r="F421">
        <v>9</v>
      </c>
      <c r="G421" t="s">
        <v>1602</v>
      </c>
    </row>
    <row r="422" spans="1:7" x14ac:dyDescent="0.55000000000000004">
      <c r="A422" s="1">
        <v>39868</v>
      </c>
      <c r="B422">
        <v>2009</v>
      </c>
      <c r="C422">
        <v>2</v>
      </c>
      <c r="D422" t="s">
        <v>1603</v>
      </c>
      <c r="E422" t="s">
        <v>1595</v>
      </c>
      <c r="F422">
        <v>9</v>
      </c>
      <c r="G422" t="s">
        <v>1596</v>
      </c>
    </row>
    <row r="423" spans="1:7" x14ac:dyDescent="0.55000000000000004">
      <c r="A423" s="1">
        <v>39869</v>
      </c>
      <c r="B423">
        <v>2009</v>
      </c>
      <c r="C423">
        <v>2</v>
      </c>
      <c r="D423" t="s">
        <v>1603</v>
      </c>
      <c r="E423" t="s">
        <v>1595</v>
      </c>
      <c r="F423">
        <v>9</v>
      </c>
      <c r="G423" t="s">
        <v>1597</v>
      </c>
    </row>
    <row r="424" spans="1:7" x14ac:dyDescent="0.55000000000000004">
      <c r="A424" s="1">
        <v>39870</v>
      </c>
      <c r="B424">
        <v>2009</v>
      </c>
      <c r="C424">
        <v>2</v>
      </c>
      <c r="D424" t="s">
        <v>1603</v>
      </c>
      <c r="E424" t="s">
        <v>1595</v>
      </c>
      <c r="F424">
        <v>9</v>
      </c>
      <c r="G424" t="s">
        <v>1598</v>
      </c>
    </row>
    <row r="425" spans="1:7" x14ac:dyDescent="0.55000000000000004">
      <c r="A425" s="1">
        <v>39871</v>
      </c>
      <c r="B425">
        <v>2009</v>
      </c>
      <c r="C425">
        <v>2</v>
      </c>
      <c r="D425" t="s">
        <v>1603</v>
      </c>
      <c r="E425" t="s">
        <v>1595</v>
      </c>
      <c r="F425">
        <v>9</v>
      </c>
      <c r="G425" t="s">
        <v>1599</v>
      </c>
    </row>
    <row r="426" spans="1:7" x14ac:dyDescent="0.55000000000000004">
      <c r="A426" s="1">
        <v>39872</v>
      </c>
      <c r="B426">
        <v>2009</v>
      </c>
      <c r="C426">
        <v>2</v>
      </c>
      <c r="D426" t="s">
        <v>1603</v>
      </c>
      <c r="E426" t="s">
        <v>1595</v>
      </c>
      <c r="F426">
        <v>9</v>
      </c>
      <c r="G426" t="s">
        <v>1600</v>
      </c>
    </row>
    <row r="427" spans="1:7" x14ac:dyDescent="0.55000000000000004">
      <c r="A427" s="1">
        <v>39873</v>
      </c>
      <c r="B427">
        <v>2009</v>
      </c>
      <c r="C427">
        <v>3</v>
      </c>
      <c r="D427" t="s">
        <v>1604</v>
      </c>
      <c r="E427" t="s">
        <v>1595</v>
      </c>
      <c r="F427">
        <v>10</v>
      </c>
      <c r="G427" t="s">
        <v>1601</v>
      </c>
    </row>
    <row r="428" spans="1:7" x14ac:dyDescent="0.55000000000000004">
      <c r="A428" s="1">
        <v>39874</v>
      </c>
      <c r="B428">
        <v>2009</v>
      </c>
      <c r="C428">
        <v>3</v>
      </c>
      <c r="D428" t="s">
        <v>1604</v>
      </c>
      <c r="E428" t="s">
        <v>1595</v>
      </c>
      <c r="F428">
        <v>10</v>
      </c>
      <c r="G428" t="s">
        <v>1602</v>
      </c>
    </row>
    <row r="429" spans="1:7" x14ac:dyDescent="0.55000000000000004">
      <c r="A429" s="1">
        <v>39875</v>
      </c>
      <c r="B429">
        <v>2009</v>
      </c>
      <c r="C429">
        <v>3</v>
      </c>
      <c r="D429" t="s">
        <v>1604</v>
      </c>
      <c r="E429" t="s">
        <v>1595</v>
      </c>
      <c r="F429">
        <v>10</v>
      </c>
      <c r="G429" t="s">
        <v>1596</v>
      </c>
    </row>
    <row r="430" spans="1:7" x14ac:dyDescent="0.55000000000000004">
      <c r="A430" s="1">
        <v>39876</v>
      </c>
      <c r="B430">
        <v>2009</v>
      </c>
      <c r="C430">
        <v>3</v>
      </c>
      <c r="D430" t="s">
        <v>1604</v>
      </c>
      <c r="E430" t="s">
        <v>1595</v>
      </c>
      <c r="F430">
        <v>10</v>
      </c>
      <c r="G430" t="s">
        <v>1597</v>
      </c>
    </row>
    <row r="431" spans="1:7" x14ac:dyDescent="0.55000000000000004">
      <c r="A431" s="1">
        <v>39877</v>
      </c>
      <c r="B431">
        <v>2009</v>
      </c>
      <c r="C431">
        <v>3</v>
      </c>
      <c r="D431" t="s">
        <v>1604</v>
      </c>
      <c r="E431" t="s">
        <v>1595</v>
      </c>
      <c r="F431">
        <v>10</v>
      </c>
      <c r="G431" t="s">
        <v>1598</v>
      </c>
    </row>
    <row r="432" spans="1:7" x14ac:dyDescent="0.55000000000000004">
      <c r="A432" s="1">
        <v>39878</v>
      </c>
      <c r="B432">
        <v>2009</v>
      </c>
      <c r="C432">
        <v>3</v>
      </c>
      <c r="D432" t="s">
        <v>1604</v>
      </c>
      <c r="E432" t="s">
        <v>1595</v>
      </c>
      <c r="F432">
        <v>10</v>
      </c>
      <c r="G432" t="s">
        <v>1599</v>
      </c>
    </row>
    <row r="433" spans="1:7" x14ac:dyDescent="0.55000000000000004">
      <c r="A433" s="1">
        <v>39879</v>
      </c>
      <c r="B433">
        <v>2009</v>
      </c>
      <c r="C433">
        <v>3</v>
      </c>
      <c r="D433" t="s">
        <v>1604</v>
      </c>
      <c r="E433" t="s">
        <v>1595</v>
      </c>
      <c r="F433">
        <v>10</v>
      </c>
      <c r="G433" t="s">
        <v>1600</v>
      </c>
    </row>
    <row r="434" spans="1:7" x14ac:dyDescent="0.55000000000000004">
      <c r="A434" s="1">
        <v>39880</v>
      </c>
      <c r="B434">
        <v>2009</v>
      </c>
      <c r="C434">
        <v>3</v>
      </c>
      <c r="D434" t="s">
        <v>1604</v>
      </c>
      <c r="E434" t="s">
        <v>1595</v>
      </c>
      <c r="F434">
        <v>11</v>
      </c>
      <c r="G434" t="s">
        <v>1601</v>
      </c>
    </row>
    <row r="435" spans="1:7" x14ac:dyDescent="0.55000000000000004">
      <c r="A435" s="1">
        <v>39881</v>
      </c>
      <c r="B435">
        <v>2009</v>
      </c>
      <c r="C435">
        <v>3</v>
      </c>
      <c r="D435" t="s">
        <v>1604</v>
      </c>
      <c r="E435" t="s">
        <v>1595</v>
      </c>
      <c r="F435">
        <v>11</v>
      </c>
      <c r="G435" t="s">
        <v>1602</v>
      </c>
    </row>
    <row r="436" spans="1:7" x14ac:dyDescent="0.55000000000000004">
      <c r="A436" s="1">
        <v>39882</v>
      </c>
      <c r="B436">
        <v>2009</v>
      </c>
      <c r="C436">
        <v>3</v>
      </c>
      <c r="D436" t="s">
        <v>1604</v>
      </c>
      <c r="E436" t="s">
        <v>1595</v>
      </c>
      <c r="F436">
        <v>11</v>
      </c>
      <c r="G436" t="s">
        <v>1596</v>
      </c>
    </row>
    <row r="437" spans="1:7" x14ac:dyDescent="0.55000000000000004">
      <c r="A437" s="1">
        <v>39883</v>
      </c>
      <c r="B437">
        <v>2009</v>
      </c>
      <c r="C437">
        <v>3</v>
      </c>
      <c r="D437" t="s">
        <v>1604</v>
      </c>
      <c r="E437" t="s">
        <v>1595</v>
      </c>
      <c r="F437">
        <v>11</v>
      </c>
      <c r="G437" t="s">
        <v>1597</v>
      </c>
    </row>
    <row r="438" spans="1:7" x14ac:dyDescent="0.55000000000000004">
      <c r="A438" s="1">
        <v>39884</v>
      </c>
      <c r="B438">
        <v>2009</v>
      </c>
      <c r="C438">
        <v>3</v>
      </c>
      <c r="D438" t="s">
        <v>1604</v>
      </c>
      <c r="E438" t="s">
        <v>1595</v>
      </c>
      <c r="F438">
        <v>11</v>
      </c>
      <c r="G438" t="s">
        <v>1598</v>
      </c>
    </row>
    <row r="439" spans="1:7" x14ac:dyDescent="0.55000000000000004">
      <c r="A439" s="1">
        <v>39885</v>
      </c>
      <c r="B439">
        <v>2009</v>
      </c>
      <c r="C439">
        <v>3</v>
      </c>
      <c r="D439" t="s">
        <v>1604</v>
      </c>
      <c r="E439" t="s">
        <v>1595</v>
      </c>
      <c r="F439">
        <v>11</v>
      </c>
      <c r="G439" t="s">
        <v>1599</v>
      </c>
    </row>
    <row r="440" spans="1:7" x14ac:dyDescent="0.55000000000000004">
      <c r="A440" s="1">
        <v>39886</v>
      </c>
      <c r="B440">
        <v>2009</v>
      </c>
      <c r="C440">
        <v>3</v>
      </c>
      <c r="D440" t="s">
        <v>1604</v>
      </c>
      <c r="E440" t="s">
        <v>1595</v>
      </c>
      <c r="F440">
        <v>11</v>
      </c>
      <c r="G440" t="s">
        <v>1600</v>
      </c>
    </row>
    <row r="441" spans="1:7" x14ac:dyDescent="0.55000000000000004">
      <c r="A441" s="1">
        <v>39887</v>
      </c>
      <c r="B441">
        <v>2009</v>
      </c>
      <c r="C441">
        <v>3</v>
      </c>
      <c r="D441" t="s">
        <v>1604</v>
      </c>
      <c r="E441" t="s">
        <v>1595</v>
      </c>
      <c r="F441">
        <v>12</v>
      </c>
      <c r="G441" t="s">
        <v>1601</v>
      </c>
    </row>
    <row r="442" spans="1:7" x14ac:dyDescent="0.55000000000000004">
      <c r="A442" s="1">
        <v>39888</v>
      </c>
      <c r="B442">
        <v>2009</v>
      </c>
      <c r="C442">
        <v>3</v>
      </c>
      <c r="D442" t="s">
        <v>1604</v>
      </c>
      <c r="E442" t="s">
        <v>1595</v>
      </c>
      <c r="F442">
        <v>12</v>
      </c>
      <c r="G442" t="s">
        <v>1602</v>
      </c>
    </row>
    <row r="443" spans="1:7" x14ac:dyDescent="0.55000000000000004">
      <c r="A443" s="1">
        <v>39889</v>
      </c>
      <c r="B443">
        <v>2009</v>
      </c>
      <c r="C443">
        <v>3</v>
      </c>
      <c r="D443" t="s">
        <v>1604</v>
      </c>
      <c r="E443" t="s">
        <v>1595</v>
      </c>
      <c r="F443">
        <v>12</v>
      </c>
      <c r="G443" t="s">
        <v>1596</v>
      </c>
    </row>
    <row r="444" spans="1:7" x14ac:dyDescent="0.55000000000000004">
      <c r="A444" s="1">
        <v>39890</v>
      </c>
      <c r="B444">
        <v>2009</v>
      </c>
      <c r="C444">
        <v>3</v>
      </c>
      <c r="D444" t="s">
        <v>1604</v>
      </c>
      <c r="E444" t="s">
        <v>1595</v>
      </c>
      <c r="F444">
        <v>12</v>
      </c>
      <c r="G444" t="s">
        <v>1597</v>
      </c>
    </row>
    <row r="445" spans="1:7" x14ac:dyDescent="0.55000000000000004">
      <c r="A445" s="1">
        <v>39891</v>
      </c>
      <c r="B445">
        <v>2009</v>
      </c>
      <c r="C445">
        <v>3</v>
      </c>
      <c r="D445" t="s">
        <v>1604</v>
      </c>
      <c r="E445" t="s">
        <v>1595</v>
      </c>
      <c r="F445">
        <v>12</v>
      </c>
      <c r="G445" t="s">
        <v>1598</v>
      </c>
    </row>
    <row r="446" spans="1:7" x14ac:dyDescent="0.55000000000000004">
      <c r="A446" s="1">
        <v>39892</v>
      </c>
      <c r="B446">
        <v>2009</v>
      </c>
      <c r="C446">
        <v>3</v>
      </c>
      <c r="D446" t="s">
        <v>1604</v>
      </c>
      <c r="E446" t="s">
        <v>1595</v>
      </c>
      <c r="F446">
        <v>12</v>
      </c>
      <c r="G446" t="s">
        <v>1599</v>
      </c>
    </row>
    <row r="447" spans="1:7" x14ac:dyDescent="0.55000000000000004">
      <c r="A447" s="1">
        <v>39893</v>
      </c>
      <c r="B447">
        <v>2009</v>
      </c>
      <c r="C447">
        <v>3</v>
      </c>
      <c r="D447" t="s">
        <v>1604</v>
      </c>
      <c r="E447" t="s">
        <v>1595</v>
      </c>
      <c r="F447">
        <v>12</v>
      </c>
      <c r="G447" t="s">
        <v>1600</v>
      </c>
    </row>
    <row r="448" spans="1:7" x14ac:dyDescent="0.55000000000000004">
      <c r="A448" s="1">
        <v>39894</v>
      </c>
      <c r="B448">
        <v>2009</v>
      </c>
      <c r="C448">
        <v>3</v>
      </c>
      <c r="D448" t="s">
        <v>1604</v>
      </c>
      <c r="E448" t="s">
        <v>1595</v>
      </c>
      <c r="F448">
        <v>13</v>
      </c>
      <c r="G448" t="s">
        <v>1601</v>
      </c>
    </row>
    <row r="449" spans="1:7" x14ac:dyDescent="0.55000000000000004">
      <c r="A449" s="1">
        <v>39895</v>
      </c>
      <c r="B449">
        <v>2009</v>
      </c>
      <c r="C449">
        <v>3</v>
      </c>
      <c r="D449" t="s">
        <v>1604</v>
      </c>
      <c r="E449" t="s">
        <v>1595</v>
      </c>
      <c r="F449">
        <v>13</v>
      </c>
      <c r="G449" t="s">
        <v>1602</v>
      </c>
    </row>
    <row r="450" spans="1:7" x14ac:dyDescent="0.55000000000000004">
      <c r="A450" s="1">
        <v>39896</v>
      </c>
      <c r="B450">
        <v>2009</v>
      </c>
      <c r="C450">
        <v>3</v>
      </c>
      <c r="D450" t="s">
        <v>1604</v>
      </c>
      <c r="E450" t="s">
        <v>1595</v>
      </c>
      <c r="F450">
        <v>13</v>
      </c>
      <c r="G450" t="s">
        <v>1596</v>
      </c>
    </row>
    <row r="451" spans="1:7" x14ac:dyDescent="0.55000000000000004">
      <c r="A451" s="1">
        <v>39897</v>
      </c>
      <c r="B451">
        <v>2009</v>
      </c>
      <c r="C451">
        <v>3</v>
      </c>
      <c r="D451" t="s">
        <v>1604</v>
      </c>
      <c r="E451" t="s">
        <v>1595</v>
      </c>
      <c r="F451">
        <v>13</v>
      </c>
      <c r="G451" t="s">
        <v>1597</v>
      </c>
    </row>
    <row r="452" spans="1:7" x14ac:dyDescent="0.55000000000000004">
      <c r="A452" s="1">
        <v>39898</v>
      </c>
      <c r="B452">
        <v>2009</v>
      </c>
      <c r="C452">
        <v>3</v>
      </c>
      <c r="D452" t="s">
        <v>1604</v>
      </c>
      <c r="E452" t="s">
        <v>1595</v>
      </c>
      <c r="F452">
        <v>13</v>
      </c>
      <c r="G452" t="s">
        <v>1598</v>
      </c>
    </row>
    <row r="453" spans="1:7" x14ac:dyDescent="0.55000000000000004">
      <c r="A453" s="1">
        <v>39899</v>
      </c>
      <c r="B453">
        <v>2009</v>
      </c>
      <c r="C453">
        <v>3</v>
      </c>
      <c r="D453" t="s">
        <v>1604</v>
      </c>
      <c r="E453" t="s">
        <v>1595</v>
      </c>
      <c r="F453">
        <v>13</v>
      </c>
      <c r="G453" t="s">
        <v>1599</v>
      </c>
    </row>
    <row r="454" spans="1:7" x14ac:dyDescent="0.55000000000000004">
      <c r="A454" s="1">
        <v>39900</v>
      </c>
      <c r="B454">
        <v>2009</v>
      </c>
      <c r="C454">
        <v>3</v>
      </c>
      <c r="D454" t="s">
        <v>1604</v>
      </c>
      <c r="E454" t="s">
        <v>1595</v>
      </c>
      <c r="F454">
        <v>13</v>
      </c>
      <c r="G454" t="s">
        <v>1600</v>
      </c>
    </row>
    <row r="455" spans="1:7" x14ac:dyDescent="0.55000000000000004">
      <c r="A455" s="1">
        <v>39901</v>
      </c>
      <c r="B455">
        <v>2009</v>
      </c>
      <c r="C455">
        <v>3</v>
      </c>
      <c r="D455" t="s">
        <v>1604</v>
      </c>
      <c r="E455" t="s">
        <v>1595</v>
      </c>
      <c r="F455">
        <v>14</v>
      </c>
      <c r="G455" t="s">
        <v>1601</v>
      </c>
    </row>
    <row r="456" spans="1:7" x14ac:dyDescent="0.55000000000000004">
      <c r="A456" s="1">
        <v>39902</v>
      </c>
      <c r="B456">
        <v>2009</v>
      </c>
      <c r="C456">
        <v>3</v>
      </c>
      <c r="D456" t="s">
        <v>1604</v>
      </c>
      <c r="E456" t="s">
        <v>1595</v>
      </c>
      <c r="F456">
        <v>14</v>
      </c>
      <c r="G456" t="s">
        <v>1602</v>
      </c>
    </row>
    <row r="457" spans="1:7" x14ac:dyDescent="0.55000000000000004">
      <c r="A457" s="1">
        <v>39903</v>
      </c>
      <c r="B457">
        <v>2009</v>
      </c>
      <c r="C457">
        <v>3</v>
      </c>
      <c r="D457" t="s">
        <v>1604</v>
      </c>
      <c r="E457" t="s">
        <v>1595</v>
      </c>
      <c r="F457">
        <v>14</v>
      </c>
      <c r="G457" t="s">
        <v>1596</v>
      </c>
    </row>
    <row r="458" spans="1:7" x14ac:dyDescent="0.55000000000000004">
      <c r="A458" s="1">
        <v>39904</v>
      </c>
      <c r="B458">
        <v>2009</v>
      </c>
      <c r="C458">
        <v>4</v>
      </c>
      <c r="D458" t="s">
        <v>1605</v>
      </c>
      <c r="E458" t="s">
        <v>1606</v>
      </c>
      <c r="F458">
        <v>14</v>
      </c>
      <c r="G458" t="s">
        <v>1597</v>
      </c>
    </row>
    <row r="459" spans="1:7" x14ac:dyDescent="0.55000000000000004">
      <c r="A459" s="1">
        <v>39905</v>
      </c>
      <c r="B459">
        <v>2009</v>
      </c>
      <c r="C459">
        <v>4</v>
      </c>
      <c r="D459" t="s">
        <v>1605</v>
      </c>
      <c r="E459" t="s">
        <v>1606</v>
      </c>
      <c r="F459">
        <v>14</v>
      </c>
      <c r="G459" t="s">
        <v>1598</v>
      </c>
    </row>
    <row r="460" spans="1:7" x14ac:dyDescent="0.55000000000000004">
      <c r="A460" s="1">
        <v>39906</v>
      </c>
      <c r="B460">
        <v>2009</v>
      </c>
      <c r="C460">
        <v>4</v>
      </c>
      <c r="D460" t="s">
        <v>1605</v>
      </c>
      <c r="E460" t="s">
        <v>1606</v>
      </c>
      <c r="F460">
        <v>14</v>
      </c>
      <c r="G460" t="s">
        <v>1599</v>
      </c>
    </row>
    <row r="461" spans="1:7" x14ac:dyDescent="0.55000000000000004">
      <c r="A461" s="1">
        <v>39907</v>
      </c>
      <c r="B461">
        <v>2009</v>
      </c>
      <c r="C461">
        <v>4</v>
      </c>
      <c r="D461" t="s">
        <v>1605</v>
      </c>
      <c r="E461" t="s">
        <v>1606</v>
      </c>
      <c r="F461">
        <v>14</v>
      </c>
      <c r="G461" t="s">
        <v>1600</v>
      </c>
    </row>
    <row r="462" spans="1:7" x14ac:dyDescent="0.55000000000000004">
      <c r="A462" s="1">
        <v>39908</v>
      </c>
      <c r="B462">
        <v>2009</v>
      </c>
      <c r="C462">
        <v>4</v>
      </c>
      <c r="D462" t="s">
        <v>1605</v>
      </c>
      <c r="E462" t="s">
        <v>1606</v>
      </c>
      <c r="F462">
        <v>15</v>
      </c>
      <c r="G462" t="s">
        <v>1601</v>
      </c>
    </row>
    <row r="463" spans="1:7" x14ac:dyDescent="0.55000000000000004">
      <c r="A463" s="1">
        <v>39909</v>
      </c>
      <c r="B463">
        <v>2009</v>
      </c>
      <c r="C463">
        <v>4</v>
      </c>
      <c r="D463" t="s">
        <v>1605</v>
      </c>
      <c r="E463" t="s">
        <v>1606</v>
      </c>
      <c r="F463">
        <v>15</v>
      </c>
      <c r="G463" t="s">
        <v>1602</v>
      </c>
    </row>
    <row r="464" spans="1:7" x14ac:dyDescent="0.55000000000000004">
      <c r="A464" s="1">
        <v>39910</v>
      </c>
      <c r="B464">
        <v>2009</v>
      </c>
      <c r="C464">
        <v>4</v>
      </c>
      <c r="D464" t="s">
        <v>1605</v>
      </c>
      <c r="E464" t="s">
        <v>1606</v>
      </c>
      <c r="F464">
        <v>15</v>
      </c>
      <c r="G464" t="s">
        <v>1596</v>
      </c>
    </row>
    <row r="465" spans="1:7" x14ac:dyDescent="0.55000000000000004">
      <c r="A465" s="1">
        <v>39911</v>
      </c>
      <c r="B465">
        <v>2009</v>
      </c>
      <c r="C465">
        <v>4</v>
      </c>
      <c r="D465" t="s">
        <v>1605</v>
      </c>
      <c r="E465" t="s">
        <v>1606</v>
      </c>
      <c r="F465">
        <v>15</v>
      </c>
      <c r="G465" t="s">
        <v>1597</v>
      </c>
    </row>
    <row r="466" spans="1:7" x14ac:dyDescent="0.55000000000000004">
      <c r="A466" s="1">
        <v>39912</v>
      </c>
      <c r="B466">
        <v>2009</v>
      </c>
      <c r="C466">
        <v>4</v>
      </c>
      <c r="D466" t="s">
        <v>1605</v>
      </c>
      <c r="E466" t="s">
        <v>1606</v>
      </c>
      <c r="F466">
        <v>15</v>
      </c>
      <c r="G466" t="s">
        <v>1598</v>
      </c>
    </row>
    <row r="467" spans="1:7" x14ac:dyDescent="0.55000000000000004">
      <c r="A467" s="1">
        <v>39913</v>
      </c>
      <c r="B467">
        <v>2009</v>
      </c>
      <c r="C467">
        <v>4</v>
      </c>
      <c r="D467" t="s">
        <v>1605</v>
      </c>
      <c r="E467" t="s">
        <v>1606</v>
      </c>
      <c r="F467">
        <v>15</v>
      </c>
      <c r="G467" t="s">
        <v>1599</v>
      </c>
    </row>
    <row r="468" spans="1:7" x14ac:dyDescent="0.55000000000000004">
      <c r="A468" s="1">
        <v>39914</v>
      </c>
      <c r="B468">
        <v>2009</v>
      </c>
      <c r="C468">
        <v>4</v>
      </c>
      <c r="D468" t="s">
        <v>1605</v>
      </c>
      <c r="E468" t="s">
        <v>1606</v>
      </c>
      <c r="F468">
        <v>15</v>
      </c>
      <c r="G468" t="s">
        <v>1600</v>
      </c>
    </row>
    <row r="469" spans="1:7" x14ac:dyDescent="0.55000000000000004">
      <c r="A469" s="1">
        <v>39915</v>
      </c>
      <c r="B469">
        <v>2009</v>
      </c>
      <c r="C469">
        <v>4</v>
      </c>
      <c r="D469" t="s">
        <v>1605</v>
      </c>
      <c r="E469" t="s">
        <v>1606</v>
      </c>
      <c r="F469">
        <v>16</v>
      </c>
      <c r="G469" t="s">
        <v>1601</v>
      </c>
    </row>
    <row r="470" spans="1:7" x14ac:dyDescent="0.55000000000000004">
      <c r="A470" s="1">
        <v>39916</v>
      </c>
      <c r="B470">
        <v>2009</v>
      </c>
      <c r="C470">
        <v>4</v>
      </c>
      <c r="D470" t="s">
        <v>1605</v>
      </c>
      <c r="E470" t="s">
        <v>1606</v>
      </c>
      <c r="F470">
        <v>16</v>
      </c>
      <c r="G470" t="s">
        <v>1602</v>
      </c>
    </row>
    <row r="471" spans="1:7" x14ac:dyDescent="0.55000000000000004">
      <c r="A471" s="1">
        <v>39917</v>
      </c>
      <c r="B471">
        <v>2009</v>
      </c>
      <c r="C471">
        <v>4</v>
      </c>
      <c r="D471" t="s">
        <v>1605</v>
      </c>
      <c r="E471" t="s">
        <v>1606</v>
      </c>
      <c r="F471">
        <v>16</v>
      </c>
      <c r="G471" t="s">
        <v>1596</v>
      </c>
    </row>
    <row r="472" spans="1:7" x14ac:dyDescent="0.55000000000000004">
      <c r="A472" s="1">
        <v>39918</v>
      </c>
      <c r="B472">
        <v>2009</v>
      </c>
      <c r="C472">
        <v>4</v>
      </c>
      <c r="D472" t="s">
        <v>1605</v>
      </c>
      <c r="E472" t="s">
        <v>1606</v>
      </c>
      <c r="F472">
        <v>16</v>
      </c>
      <c r="G472" t="s">
        <v>1597</v>
      </c>
    </row>
    <row r="473" spans="1:7" x14ac:dyDescent="0.55000000000000004">
      <c r="A473" s="1">
        <v>39919</v>
      </c>
      <c r="B473">
        <v>2009</v>
      </c>
      <c r="C473">
        <v>4</v>
      </c>
      <c r="D473" t="s">
        <v>1605</v>
      </c>
      <c r="E473" t="s">
        <v>1606</v>
      </c>
      <c r="F473">
        <v>16</v>
      </c>
      <c r="G473" t="s">
        <v>1598</v>
      </c>
    </row>
    <row r="474" spans="1:7" x14ac:dyDescent="0.55000000000000004">
      <c r="A474" s="1">
        <v>39920</v>
      </c>
      <c r="B474">
        <v>2009</v>
      </c>
      <c r="C474">
        <v>4</v>
      </c>
      <c r="D474" t="s">
        <v>1605</v>
      </c>
      <c r="E474" t="s">
        <v>1606</v>
      </c>
      <c r="F474">
        <v>16</v>
      </c>
      <c r="G474" t="s">
        <v>1599</v>
      </c>
    </row>
    <row r="475" spans="1:7" x14ac:dyDescent="0.55000000000000004">
      <c r="A475" s="1">
        <v>39921</v>
      </c>
      <c r="B475">
        <v>2009</v>
      </c>
      <c r="C475">
        <v>4</v>
      </c>
      <c r="D475" t="s">
        <v>1605</v>
      </c>
      <c r="E475" t="s">
        <v>1606</v>
      </c>
      <c r="F475">
        <v>16</v>
      </c>
      <c r="G475" t="s">
        <v>1600</v>
      </c>
    </row>
    <row r="476" spans="1:7" x14ac:dyDescent="0.55000000000000004">
      <c r="A476" s="1">
        <v>39922</v>
      </c>
      <c r="B476">
        <v>2009</v>
      </c>
      <c r="C476">
        <v>4</v>
      </c>
      <c r="D476" t="s">
        <v>1605</v>
      </c>
      <c r="E476" t="s">
        <v>1606</v>
      </c>
      <c r="F476">
        <v>17</v>
      </c>
      <c r="G476" t="s">
        <v>1601</v>
      </c>
    </row>
    <row r="477" spans="1:7" x14ac:dyDescent="0.55000000000000004">
      <c r="A477" s="1">
        <v>39923</v>
      </c>
      <c r="B477">
        <v>2009</v>
      </c>
      <c r="C477">
        <v>4</v>
      </c>
      <c r="D477" t="s">
        <v>1605</v>
      </c>
      <c r="E477" t="s">
        <v>1606</v>
      </c>
      <c r="F477">
        <v>17</v>
      </c>
      <c r="G477" t="s">
        <v>1602</v>
      </c>
    </row>
    <row r="478" spans="1:7" x14ac:dyDescent="0.55000000000000004">
      <c r="A478" s="1">
        <v>39924</v>
      </c>
      <c r="B478">
        <v>2009</v>
      </c>
      <c r="C478">
        <v>4</v>
      </c>
      <c r="D478" t="s">
        <v>1605</v>
      </c>
      <c r="E478" t="s">
        <v>1606</v>
      </c>
      <c r="F478">
        <v>17</v>
      </c>
      <c r="G478" t="s">
        <v>1596</v>
      </c>
    </row>
    <row r="479" spans="1:7" x14ac:dyDescent="0.55000000000000004">
      <c r="A479" s="1">
        <v>39925</v>
      </c>
      <c r="B479">
        <v>2009</v>
      </c>
      <c r="C479">
        <v>4</v>
      </c>
      <c r="D479" t="s">
        <v>1605</v>
      </c>
      <c r="E479" t="s">
        <v>1606</v>
      </c>
      <c r="F479">
        <v>17</v>
      </c>
      <c r="G479" t="s">
        <v>1597</v>
      </c>
    </row>
    <row r="480" spans="1:7" x14ac:dyDescent="0.55000000000000004">
      <c r="A480" s="1">
        <v>39926</v>
      </c>
      <c r="B480">
        <v>2009</v>
      </c>
      <c r="C480">
        <v>4</v>
      </c>
      <c r="D480" t="s">
        <v>1605</v>
      </c>
      <c r="E480" t="s">
        <v>1606</v>
      </c>
      <c r="F480">
        <v>17</v>
      </c>
      <c r="G480" t="s">
        <v>1598</v>
      </c>
    </row>
    <row r="481" spans="1:7" x14ac:dyDescent="0.55000000000000004">
      <c r="A481" s="1">
        <v>39927</v>
      </c>
      <c r="B481">
        <v>2009</v>
      </c>
      <c r="C481">
        <v>4</v>
      </c>
      <c r="D481" t="s">
        <v>1605</v>
      </c>
      <c r="E481" t="s">
        <v>1606</v>
      </c>
      <c r="F481">
        <v>17</v>
      </c>
      <c r="G481" t="s">
        <v>1599</v>
      </c>
    </row>
    <row r="482" spans="1:7" x14ac:dyDescent="0.55000000000000004">
      <c r="A482" s="1">
        <v>39928</v>
      </c>
      <c r="B482">
        <v>2009</v>
      </c>
      <c r="C482">
        <v>4</v>
      </c>
      <c r="D482" t="s">
        <v>1605</v>
      </c>
      <c r="E482" t="s">
        <v>1606</v>
      </c>
      <c r="F482">
        <v>17</v>
      </c>
      <c r="G482" t="s">
        <v>1600</v>
      </c>
    </row>
    <row r="483" spans="1:7" x14ac:dyDescent="0.55000000000000004">
      <c r="A483" s="1">
        <v>39929</v>
      </c>
      <c r="B483">
        <v>2009</v>
      </c>
      <c r="C483">
        <v>4</v>
      </c>
      <c r="D483" t="s">
        <v>1605</v>
      </c>
      <c r="E483" t="s">
        <v>1606</v>
      </c>
      <c r="F483">
        <v>18</v>
      </c>
      <c r="G483" t="s">
        <v>1601</v>
      </c>
    </row>
    <row r="484" spans="1:7" x14ac:dyDescent="0.55000000000000004">
      <c r="A484" s="1">
        <v>39930</v>
      </c>
      <c r="B484">
        <v>2009</v>
      </c>
      <c r="C484">
        <v>4</v>
      </c>
      <c r="D484" t="s">
        <v>1605</v>
      </c>
      <c r="E484" t="s">
        <v>1606</v>
      </c>
      <c r="F484">
        <v>18</v>
      </c>
      <c r="G484" t="s">
        <v>1602</v>
      </c>
    </row>
    <row r="485" spans="1:7" x14ac:dyDescent="0.55000000000000004">
      <c r="A485" s="1">
        <v>39931</v>
      </c>
      <c r="B485">
        <v>2009</v>
      </c>
      <c r="C485">
        <v>4</v>
      </c>
      <c r="D485" t="s">
        <v>1605</v>
      </c>
      <c r="E485" t="s">
        <v>1606</v>
      </c>
      <c r="F485">
        <v>18</v>
      </c>
      <c r="G485" t="s">
        <v>1596</v>
      </c>
    </row>
    <row r="486" spans="1:7" x14ac:dyDescent="0.55000000000000004">
      <c r="A486" s="1">
        <v>39932</v>
      </c>
      <c r="B486">
        <v>2009</v>
      </c>
      <c r="C486">
        <v>4</v>
      </c>
      <c r="D486" t="s">
        <v>1605</v>
      </c>
      <c r="E486" t="s">
        <v>1606</v>
      </c>
      <c r="F486">
        <v>18</v>
      </c>
      <c r="G486" t="s">
        <v>1597</v>
      </c>
    </row>
    <row r="487" spans="1:7" x14ac:dyDescent="0.55000000000000004">
      <c r="A487" s="1">
        <v>39933</v>
      </c>
      <c r="B487">
        <v>2009</v>
      </c>
      <c r="C487">
        <v>4</v>
      </c>
      <c r="D487" t="s">
        <v>1605</v>
      </c>
      <c r="E487" t="s">
        <v>1606</v>
      </c>
      <c r="F487">
        <v>18</v>
      </c>
      <c r="G487" t="s">
        <v>1598</v>
      </c>
    </row>
    <row r="488" spans="1:7" x14ac:dyDescent="0.55000000000000004">
      <c r="A488" s="1">
        <v>39934</v>
      </c>
      <c r="B488">
        <v>2009</v>
      </c>
      <c r="C488">
        <v>5</v>
      </c>
      <c r="D488" t="s">
        <v>1607</v>
      </c>
      <c r="E488" t="s">
        <v>1606</v>
      </c>
      <c r="F488">
        <v>18</v>
      </c>
      <c r="G488" t="s">
        <v>1599</v>
      </c>
    </row>
    <row r="489" spans="1:7" x14ac:dyDescent="0.55000000000000004">
      <c r="A489" s="1">
        <v>39935</v>
      </c>
      <c r="B489">
        <v>2009</v>
      </c>
      <c r="C489">
        <v>5</v>
      </c>
      <c r="D489" t="s">
        <v>1607</v>
      </c>
      <c r="E489" t="s">
        <v>1606</v>
      </c>
      <c r="F489">
        <v>18</v>
      </c>
      <c r="G489" t="s">
        <v>1600</v>
      </c>
    </row>
    <row r="490" spans="1:7" x14ac:dyDescent="0.55000000000000004">
      <c r="A490" s="1">
        <v>39936</v>
      </c>
      <c r="B490">
        <v>2009</v>
      </c>
      <c r="C490">
        <v>5</v>
      </c>
      <c r="D490" t="s">
        <v>1607</v>
      </c>
      <c r="E490" t="s">
        <v>1606</v>
      </c>
      <c r="F490">
        <v>19</v>
      </c>
      <c r="G490" t="s">
        <v>1601</v>
      </c>
    </row>
    <row r="491" spans="1:7" x14ac:dyDescent="0.55000000000000004">
      <c r="A491" s="1">
        <v>39937</v>
      </c>
      <c r="B491">
        <v>2009</v>
      </c>
      <c r="C491">
        <v>5</v>
      </c>
      <c r="D491" t="s">
        <v>1607</v>
      </c>
      <c r="E491" t="s">
        <v>1606</v>
      </c>
      <c r="F491">
        <v>19</v>
      </c>
      <c r="G491" t="s">
        <v>1602</v>
      </c>
    </row>
    <row r="492" spans="1:7" x14ac:dyDescent="0.55000000000000004">
      <c r="A492" s="1">
        <v>39938</v>
      </c>
      <c r="B492">
        <v>2009</v>
      </c>
      <c r="C492">
        <v>5</v>
      </c>
      <c r="D492" t="s">
        <v>1607</v>
      </c>
      <c r="E492" t="s">
        <v>1606</v>
      </c>
      <c r="F492">
        <v>19</v>
      </c>
      <c r="G492" t="s">
        <v>1596</v>
      </c>
    </row>
    <row r="493" spans="1:7" x14ac:dyDescent="0.55000000000000004">
      <c r="A493" s="1">
        <v>39939</v>
      </c>
      <c r="B493">
        <v>2009</v>
      </c>
      <c r="C493">
        <v>5</v>
      </c>
      <c r="D493" t="s">
        <v>1607</v>
      </c>
      <c r="E493" t="s">
        <v>1606</v>
      </c>
      <c r="F493">
        <v>19</v>
      </c>
      <c r="G493" t="s">
        <v>1597</v>
      </c>
    </row>
    <row r="494" spans="1:7" x14ac:dyDescent="0.55000000000000004">
      <c r="A494" s="1">
        <v>39940</v>
      </c>
      <c r="B494">
        <v>2009</v>
      </c>
      <c r="C494">
        <v>5</v>
      </c>
      <c r="D494" t="s">
        <v>1607</v>
      </c>
      <c r="E494" t="s">
        <v>1606</v>
      </c>
      <c r="F494">
        <v>19</v>
      </c>
      <c r="G494" t="s">
        <v>1598</v>
      </c>
    </row>
    <row r="495" spans="1:7" x14ac:dyDescent="0.55000000000000004">
      <c r="A495" s="1">
        <v>39941</v>
      </c>
      <c r="B495">
        <v>2009</v>
      </c>
      <c r="C495">
        <v>5</v>
      </c>
      <c r="D495" t="s">
        <v>1607</v>
      </c>
      <c r="E495" t="s">
        <v>1606</v>
      </c>
      <c r="F495">
        <v>19</v>
      </c>
      <c r="G495" t="s">
        <v>1599</v>
      </c>
    </row>
    <row r="496" spans="1:7" x14ac:dyDescent="0.55000000000000004">
      <c r="A496" s="1">
        <v>39942</v>
      </c>
      <c r="B496">
        <v>2009</v>
      </c>
      <c r="C496">
        <v>5</v>
      </c>
      <c r="D496" t="s">
        <v>1607</v>
      </c>
      <c r="E496" t="s">
        <v>1606</v>
      </c>
      <c r="F496">
        <v>19</v>
      </c>
      <c r="G496" t="s">
        <v>1600</v>
      </c>
    </row>
    <row r="497" spans="1:7" x14ac:dyDescent="0.55000000000000004">
      <c r="A497" s="1">
        <v>39943</v>
      </c>
      <c r="B497">
        <v>2009</v>
      </c>
      <c r="C497">
        <v>5</v>
      </c>
      <c r="D497" t="s">
        <v>1607</v>
      </c>
      <c r="E497" t="s">
        <v>1606</v>
      </c>
      <c r="F497">
        <v>20</v>
      </c>
      <c r="G497" t="s">
        <v>1601</v>
      </c>
    </row>
    <row r="498" spans="1:7" x14ac:dyDescent="0.55000000000000004">
      <c r="A498" s="1">
        <v>39944</v>
      </c>
      <c r="B498">
        <v>2009</v>
      </c>
      <c r="C498">
        <v>5</v>
      </c>
      <c r="D498" t="s">
        <v>1607</v>
      </c>
      <c r="E498" t="s">
        <v>1606</v>
      </c>
      <c r="F498">
        <v>20</v>
      </c>
      <c r="G498" t="s">
        <v>1602</v>
      </c>
    </row>
    <row r="499" spans="1:7" x14ac:dyDescent="0.55000000000000004">
      <c r="A499" s="1">
        <v>39945</v>
      </c>
      <c r="B499">
        <v>2009</v>
      </c>
      <c r="C499">
        <v>5</v>
      </c>
      <c r="D499" t="s">
        <v>1607</v>
      </c>
      <c r="E499" t="s">
        <v>1606</v>
      </c>
      <c r="F499">
        <v>20</v>
      </c>
      <c r="G499" t="s">
        <v>1596</v>
      </c>
    </row>
    <row r="500" spans="1:7" x14ac:dyDescent="0.55000000000000004">
      <c r="A500" s="1">
        <v>39946</v>
      </c>
      <c r="B500">
        <v>2009</v>
      </c>
      <c r="C500">
        <v>5</v>
      </c>
      <c r="D500" t="s">
        <v>1607</v>
      </c>
      <c r="E500" t="s">
        <v>1606</v>
      </c>
      <c r="F500">
        <v>20</v>
      </c>
      <c r="G500" t="s">
        <v>1597</v>
      </c>
    </row>
    <row r="501" spans="1:7" x14ac:dyDescent="0.55000000000000004">
      <c r="A501" s="1">
        <v>39947</v>
      </c>
      <c r="B501">
        <v>2009</v>
      </c>
      <c r="C501">
        <v>5</v>
      </c>
      <c r="D501" t="s">
        <v>1607</v>
      </c>
      <c r="E501" t="s">
        <v>1606</v>
      </c>
      <c r="F501">
        <v>20</v>
      </c>
      <c r="G501" t="s">
        <v>1598</v>
      </c>
    </row>
    <row r="502" spans="1:7" x14ac:dyDescent="0.55000000000000004">
      <c r="A502" s="1">
        <v>39948</v>
      </c>
      <c r="B502">
        <v>2009</v>
      </c>
      <c r="C502">
        <v>5</v>
      </c>
      <c r="D502" t="s">
        <v>1607</v>
      </c>
      <c r="E502" t="s">
        <v>1606</v>
      </c>
      <c r="F502">
        <v>20</v>
      </c>
      <c r="G502" t="s">
        <v>1599</v>
      </c>
    </row>
    <row r="503" spans="1:7" x14ac:dyDescent="0.55000000000000004">
      <c r="A503" s="1">
        <v>39949</v>
      </c>
      <c r="B503">
        <v>2009</v>
      </c>
      <c r="C503">
        <v>5</v>
      </c>
      <c r="D503" t="s">
        <v>1607</v>
      </c>
      <c r="E503" t="s">
        <v>1606</v>
      </c>
      <c r="F503">
        <v>20</v>
      </c>
      <c r="G503" t="s">
        <v>1600</v>
      </c>
    </row>
    <row r="504" spans="1:7" x14ac:dyDescent="0.55000000000000004">
      <c r="A504" s="1">
        <v>39950</v>
      </c>
      <c r="B504">
        <v>2009</v>
      </c>
      <c r="C504">
        <v>5</v>
      </c>
      <c r="D504" t="s">
        <v>1607</v>
      </c>
      <c r="E504" t="s">
        <v>1606</v>
      </c>
      <c r="F504">
        <v>21</v>
      </c>
      <c r="G504" t="s">
        <v>1601</v>
      </c>
    </row>
    <row r="505" spans="1:7" x14ac:dyDescent="0.55000000000000004">
      <c r="A505" s="1">
        <v>39951</v>
      </c>
      <c r="B505">
        <v>2009</v>
      </c>
      <c r="C505">
        <v>5</v>
      </c>
      <c r="D505" t="s">
        <v>1607</v>
      </c>
      <c r="E505" t="s">
        <v>1606</v>
      </c>
      <c r="F505">
        <v>21</v>
      </c>
      <c r="G505" t="s">
        <v>1602</v>
      </c>
    </row>
    <row r="506" spans="1:7" x14ac:dyDescent="0.55000000000000004">
      <c r="A506" s="1">
        <v>39952</v>
      </c>
      <c r="B506">
        <v>2009</v>
      </c>
      <c r="C506">
        <v>5</v>
      </c>
      <c r="D506" t="s">
        <v>1607</v>
      </c>
      <c r="E506" t="s">
        <v>1606</v>
      </c>
      <c r="F506">
        <v>21</v>
      </c>
      <c r="G506" t="s">
        <v>1596</v>
      </c>
    </row>
    <row r="507" spans="1:7" x14ac:dyDescent="0.55000000000000004">
      <c r="A507" s="1">
        <v>39953</v>
      </c>
      <c r="B507">
        <v>2009</v>
      </c>
      <c r="C507">
        <v>5</v>
      </c>
      <c r="D507" t="s">
        <v>1607</v>
      </c>
      <c r="E507" t="s">
        <v>1606</v>
      </c>
      <c r="F507">
        <v>21</v>
      </c>
      <c r="G507" t="s">
        <v>1597</v>
      </c>
    </row>
    <row r="508" spans="1:7" x14ac:dyDescent="0.55000000000000004">
      <c r="A508" s="1">
        <v>39954</v>
      </c>
      <c r="B508">
        <v>2009</v>
      </c>
      <c r="C508">
        <v>5</v>
      </c>
      <c r="D508" t="s">
        <v>1607</v>
      </c>
      <c r="E508" t="s">
        <v>1606</v>
      </c>
      <c r="F508">
        <v>21</v>
      </c>
      <c r="G508" t="s">
        <v>1598</v>
      </c>
    </row>
    <row r="509" spans="1:7" x14ac:dyDescent="0.55000000000000004">
      <c r="A509" s="1">
        <v>39955</v>
      </c>
      <c r="B509">
        <v>2009</v>
      </c>
      <c r="C509">
        <v>5</v>
      </c>
      <c r="D509" t="s">
        <v>1607</v>
      </c>
      <c r="E509" t="s">
        <v>1606</v>
      </c>
      <c r="F509">
        <v>21</v>
      </c>
      <c r="G509" t="s">
        <v>1599</v>
      </c>
    </row>
    <row r="510" spans="1:7" x14ac:dyDescent="0.55000000000000004">
      <c r="A510" s="1">
        <v>39956</v>
      </c>
      <c r="B510">
        <v>2009</v>
      </c>
      <c r="C510">
        <v>5</v>
      </c>
      <c r="D510" t="s">
        <v>1607</v>
      </c>
      <c r="E510" t="s">
        <v>1606</v>
      </c>
      <c r="F510">
        <v>21</v>
      </c>
      <c r="G510" t="s">
        <v>1600</v>
      </c>
    </row>
    <row r="511" spans="1:7" x14ac:dyDescent="0.55000000000000004">
      <c r="A511" s="1">
        <v>39957</v>
      </c>
      <c r="B511">
        <v>2009</v>
      </c>
      <c r="C511">
        <v>5</v>
      </c>
      <c r="D511" t="s">
        <v>1607</v>
      </c>
      <c r="E511" t="s">
        <v>1606</v>
      </c>
      <c r="F511">
        <v>22</v>
      </c>
      <c r="G511" t="s">
        <v>1601</v>
      </c>
    </row>
    <row r="512" spans="1:7" x14ac:dyDescent="0.55000000000000004">
      <c r="A512" s="1">
        <v>39958</v>
      </c>
      <c r="B512">
        <v>2009</v>
      </c>
      <c r="C512">
        <v>5</v>
      </c>
      <c r="D512" t="s">
        <v>1607</v>
      </c>
      <c r="E512" t="s">
        <v>1606</v>
      </c>
      <c r="F512">
        <v>22</v>
      </c>
      <c r="G512" t="s">
        <v>1602</v>
      </c>
    </row>
    <row r="513" spans="1:7" x14ac:dyDescent="0.55000000000000004">
      <c r="A513" s="1">
        <v>39959</v>
      </c>
      <c r="B513">
        <v>2009</v>
      </c>
      <c r="C513">
        <v>5</v>
      </c>
      <c r="D513" t="s">
        <v>1607</v>
      </c>
      <c r="E513" t="s">
        <v>1606</v>
      </c>
      <c r="F513">
        <v>22</v>
      </c>
      <c r="G513" t="s">
        <v>1596</v>
      </c>
    </row>
    <row r="514" spans="1:7" x14ac:dyDescent="0.55000000000000004">
      <c r="A514" s="1">
        <v>39960</v>
      </c>
      <c r="B514">
        <v>2009</v>
      </c>
      <c r="C514">
        <v>5</v>
      </c>
      <c r="D514" t="s">
        <v>1607</v>
      </c>
      <c r="E514" t="s">
        <v>1606</v>
      </c>
      <c r="F514">
        <v>22</v>
      </c>
      <c r="G514" t="s">
        <v>1597</v>
      </c>
    </row>
    <row r="515" spans="1:7" x14ac:dyDescent="0.55000000000000004">
      <c r="A515" s="1">
        <v>39961</v>
      </c>
      <c r="B515">
        <v>2009</v>
      </c>
      <c r="C515">
        <v>5</v>
      </c>
      <c r="D515" t="s">
        <v>1607</v>
      </c>
      <c r="E515" t="s">
        <v>1606</v>
      </c>
      <c r="F515">
        <v>22</v>
      </c>
      <c r="G515" t="s">
        <v>1598</v>
      </c>
    </row>
    <row r="516" spans="1:7" x14ac:dyDescent="0.55000000000000004">
      <c r="A516" s="1">
        <v>39962</v>
      </c>
      <c r="B516">
        <v>2009</v>
      </c>
      <c r="C516">
        <v>5</v>
      </c>
      <c r="D516" t="s">
        <v>1607</v>
      </c>
      <c r="E516" t="s">
        <v>1606</v>
      </c>
      <c r="F516">
        <v>22</v>
      </c>
      <c r="G516" t="s">
        <v>1599</v>
      </c>
    </row>
    <row r="517" spans="1:7" x14ac:dyDescent="0.55000000000000004">
      <c r="A517" s="1">
        <v>39963</v>
      </c>
      <c r="B517">
        <v>2009</v>
      </c>
      <c r="C517">
        <v>5</v>
      </c>
      <c r="D517" t="s">
        <v>1607</v>
      </c>
      <c r="E517" t="s">
        <v>1606</v>
      </c>
      <c r="F517">
        <v>22</v>
      </c>
      <c r="G517" t="s">
        <v>1600</v>
      </c>
    </row>
    <row r="518" spans="1:7" x14ac:dyDescent="0.55000000000000004">
      <c r="A518" s="1">
        <v>39964</v>
      </c>
      <c r="B518">
        <v>2009</v>
      </c>
      <c r="C518">
        <v>5</v>
      </c>
      <c r="D518" t="s">
        <v>1607</v>
      </c>
      <c r="E518" t="s">
        <v>1606</v>
      </c>
      <c r="F518">
        <v>23</v>
      </c>
      <c r="G518" t="s">
        <v>1601</v>
      </c>
    </row>
    <row r="519" spans="1:7" x14ac:dyDescent="0.55000000000000004">
      <c r="A519" s="1">
        <v>39965</v>
      </c>
      <c r="B519">
        <v>2009</v>
      </c>
      <c r="C519">
        <v>6</v>
      </c>
      <c r="D519" t="s">
        <v>1593</v>
      </c>
      <c r="E519" t="s">
        <v>1606</v>
      </c>
      <c r="F519">
        <v>23</v>
      </c>
      <c r="G519" t="s">
        <v>1602</v>
      </c>
    </row>
    <row r="520" spans="1:7" x14ac:dyDescent="0.55000000000000004">
      <c r="A520" s="1">
        <v>39966</v>
      </c>
      <c r="B520">
        <v>2009</v>
      </c>
      <c r="C520">
        <v>6</v>
      </c>
      <c r="D520" t="s">
        <v>1593</v>
      </c>
      <c r="E520" t="s">
        <v>1606</v>
      </c>
      <c r="F520">
        <v>23</v>
      </c>
      <c r="G520" t="s">
        <v>1596</v>
      </c>
    </row>
    <row r="521" spans="1:7" x14ac:dyDescent="0.55000000000000004">
      <c r="A521" s="1">
        <v>39967</v>
      </c>
      <c r="B521">
        <v>2009</v>
      </c>
      <c r="C521">
        <v>6</v>
      </c>
      <c r="D521" t="s">
        <v>1593</v>
      </c>
      <c r="E521" t="s">
        <v>1606</v>
      </c>
      <c r="F521">
        <v>23</v>
      </c>
      <c r="G521" t="s">
        <v>1597</v>
      </c>
    </row>
    <row r="522" spans="1:7" x14ac:dyDescent="0.55000000000000004">
      <c r="A522" s="1">
        <v>39968</v>
      </c>
      <c r="B522">
        <v>2009</v>
      </c>
      <c r="C522">
        <v>6</v>
      </c>
      <c r="D522" t="s">
        <v>1593</v>
      </c>
      <c r="E522" t="s">
        <v>1606</v>
      </c>
      <c r="F522">
        <v>23</v>
      </c>
      <c r="G522" t="s">
        <v>1598</v>
      </c>
    </row>
    <row r="523" spans="1:7" x14ac:dyDescent="0.55000000000000004">
      <c r="A523" s="1">
        <v>39969</v>
      </c>
      <c r="B523">
        <v>2009</v>
      </c>
      <c r="C523">
        <v>6</v>
      </c>
      <c r="D523" t="s">
        <v>1593</v>
      </c>
      <c r="E523" t="s">
        <v>1606</v>
      </c>
      <c r="F523">
        <v>23</v>
      </c>
      <c r="G523" t="s">
        <v>1599</v>
      </c>
    </row>
    <row r="524" spans="1:7" x14ac:dyDescent="0.55000000000000004">
      <c r="A524" s="1">
        <v>39970</v>
      </c>
      <c r="B524">
        <v>2009</v>
      </c>
      <c r="C524">
        <v>6</v>
      </c>
      <c r="D524" t="s">
        <v>1593</v>
      </c>
      <c r="E524" t="s">
        <v>1606</v>
      </c>
      <c r="F524">
        <v>23</v>
      </c>
      <c r="G524" t="s">
        <v>1600</v>
      </c>
    </row>
    <row r="525" spans="1:7" x14ac:dyDescent="0.55000000000000004">
      <c r="A525" s="1">
        <v>39971</v>
      </c>
      <c r="B525">
        <v>2009</v>
      </c>
      <c r="C525">
        <v>6</v>
      </c>
      <c r="D525" t="s">
        <v>1593</v>
      </c>
      <c r="E525" t="s">
        <v>1606</v>
      </c>
      <c r="F525">
        <v>24</v>
      </c>
      <c r="G525" t="s">
        <v>1601</v>
      </c>
    </row>
    <row r="526" spans="1:7" x14ac:dyDescent="0.55000000000000004">
      <c r="A526" s="1">
        <v>39972</v>
      </c>
      <c r="B526">
        <v>2009</v>
      </c>
      <c r="C526">
        <v>6</v>
      </c>
      <c r="D526" t="s">
        <v>1593</v>
      </c>
      <c r="E526" t="s">
        <v>1606</v>
      </c>
      <c r="F526">
        <v>24</v>
      </c>
      <c r="G526" t="s">
        <v>1602</v>
      </c>
    </row>
    <row r="527" spans="1:7" x14ac:dyDescent="0.55000000000000004">
      <c r="A527" s="1">
        <v>39973</v>
      </c>
      <c r="B527">
        <v>2009</v>
      </c>
      <c r="C527">
        <v>6</v>
      </c>
      <c r="D527" t="s">
        <v>1593</v>
      </c>
      <c r="E527" t="s">
        <v>1606</v>
      </c>
      <c r="F527">
        <v>24</v>
      </c>
      <c r="G527" t="s">
        <v>1596</v>
      </c>
    </row>
    <row r="528" spans="1:7" x14ac:dyDescent="0.55000000000000004">
      <c r="A528" s="1">
        <v>39974</v>
      </c>
      <c r="B528">
        <v>2009</v>
      </c>
      <c r="C528">
        <v>6</v>
      </c>
      <c r="D528" t="s">
        <v>1593</v>
      </c>
      <c r="E528" t="s">
        <v>1606</v>
      </c>
      <c r="F528">
        <v>24</v>
      </c>
      <c r="G528" t="s">
        <v>1597</v>
      </c>
    </row>
    <row r="529" spans="1:7" x14ac:dyDescent="0.55000000000000004">
      <c r="A529" s="1">
        <v>39975</v>
      </c>
      <c r="B529">
        <v>2009</v>
      </c>
      <c r="C529">
        <v>6</v>
      </c>
      <c r="D529" t="s">
        <v>1593</v>
      </c>
      <c r="E529" t="s">
        <v>1606</v>
      </c>
      <c r="F529">
        <v>24</v>
      </c>
      <c r="G529" t="s">
        <v>1598</v>
      </c>
    </row>
    <row r="530" spans="1:7" x14ac:dyDescent="0.55000000000000004">
      <c r="A530" s="1">
        <v>39976</v>
      </c>
      <c r="B530">
        <v>2009</v>
      </c>
      <c r="C530">
        <v>6</v>
      </c>
      <c r="D530" t="s">
        <v>1593</v>
      </c>
      <c r="E530" t="s">
        <v>1606</v>
      </c>
      <c r="F530">
        <v>24</v>
      </c>
      <c r="G530" t="s">
        <v>1599</v>
      </c>
    </row>
    <row r="531" spans="1:7" x14ac:dyDescent="0.55000000000000004">
      <c r="A531" s="1">
        <v>39977</v>
      </c>
      <c r="B531">
        <v>2009</v>
      </c>
      <c r="C531">
        <v>6</v>
      </c>
      <c r="D531" t="s">
        <v>1593</v>
      </c>
      <c r="E531" t="s">
        <v>1606</v>
      </c>
      <c r="F531">
        <v>24</v>
      </c>
      <c r="G531" t="s">
        <v>1600</v>
      </c>
    </row>
    <row r="532" spans="1:7" x14ac:dyDescent="0.55000000000000004">
      <c r="A532" s="1">
        <v>39978</v>
      </c>
      <c r="B532">
        <v>2009</v>
      </c>
      <c r="C532">
        <v>6</v>
      </c>
      <c r="D532" t="s">
        <v>1593</v>
      </c>
      <c r="E532" t="s">
        <v>1606</v>
      </c>
      <c r="F532">
        <v>25</v>
      </c>
      <c r="G532" t="s">
        <v>1601</v>
      </c>
    </row>
    <row r="533" spans="1:7" x14ac:dyDescent="0.55000000000000004">
      <c r="A533" s="1">
        <v>39979</v>
      </c>
      <c r="B533">
        <v>2009</v>
      </c>
      <c r="C533">
        <v>6</v>
      </c>
      <c r="D533" t="s">
        <v>1593</v>
      </c>
      <c r="E533" t="s">
        <v>1606</v>
      </c>
      <c r="F533">
        <v>25</v>
      </c>
      <c r="G533" t="s">
        <v>1602</v>
      </c>
    </row>
    <row r="534" spans="1:7" x14ac:dyDescent="0.55000000000000004">
      <c r="A534" s="1">
        <v>39980</v>
      </c>
      <c r="B534">
        <v>2009</v>
      </c>
      <c r="C534">
        <v>6</v>
      </c>
      <c r="D534" t="s">
        <v>1593</v>
      </c>
      <c r="E534" t="s">
        <v>1606</v>
      </c>
      <c r="F534">
        <v>25</v>
      </c>
      <c r="G534" t="s">
        <v>1596</v>
      </c>
    </row>
    <row r="535" spans="1:7" x14ac:dyDescent="0.55000000000000004">
      <c r="A535" s="1">
        <v>39981</v>
      </c>
      <c r="B535">
        <v>2009</v>
      </c>
      <c r="C535">
        <v>6</v>
      </c>
      <c r="D535" t="s">
        <v>1593</v>
      </c>
      <c r="E535" t="s">
        <v>1606</v>
      </c>
      <c r="F535">
        <v>25</v>
      </c>
      <c r="G535" t="s">
        <v>1597</v>
      </c>
    </row>
    <row r="536" spans="1:7" x14ac:dyDescent="0.55000000000000004">
      <c r="A536" s="1">
        <v>39982</v>
      </c>
      <c r="B536">
        <v>2009</v>
      </c>
      <c r="C536">
        <v>6</v>
      </c>
      <c r="D536" t="s">
        <v>1593</v>
      </c>
      <c r="E536" t="s">
        <v>1606</v>
      </c>
      <c r="F536">
        <v>25</v>
      </c>
      <c r="G536" t="s">
        <v>1598</v>
      </c>
    </row>
    <row r="537" spans="1:7" x14ac:dyDescent="0.55000000000000004">
      <c r="A537" s="1">
        <v>39983</v>
      </c>
      <c r="B537">
        <v>2009</v>
      </c>
      <c r="C537">
        <v>6</v>
      </c>
      <c r="D537" t="s">
        <v>1593</v>
      </c>
      <c r="E537" t="s">
        <v>1606</v>
      </c>
      <c r="F537">
        <v>25</v>
      </c>
      <c r="G537" t="s">
        <v>1599</v>
      </c>
    </row>
    <row r="538" spans="1:7" x14ac:dyDescent="0.55000000000000004">
      <c r="A538" s="1">
        <v>39984</v>
      </c>
      <c r="B538">
        <v>2009</v>
      </c>
      <c r="C538">
        <v>6</v>
      </c>
      <c r="D538" t="s">
        <v>1593</v>
      </c>
      <c r="E538" t="s">
        <v>1606</v>
      </c>
      <c r="F538">
        <v>25</v>
      </c>
      <c r="G538" t="s">
        <v>1600</v>
      </c>
    </row>
    <row r="539" spans="1:7" x14ac:dyDescent="0.55000000000000004">
      <c r="A539" s="1">
        <v>39985</v>
      </c>
      <c r="B539">
        <v>2009</v>
      </c>
      <c r="C539">
        <v>6</v>
      </c>
      <c r="D539" t="s">
        <v>1593</v>
      </c>
      <c r="E539" t="s">
        <v>1606</v>
      </c>
      <c r="F539">
        <v>26</v>
      </c>
      <c r="G539" t="s">
        <v>1601</v>
      </c>
    </row>
    <row r="540" spans="1:7" x14ac:dyDescent="0.55000000000000004">
      <c r="A540" s="1">
        <v>39986</v>
      </c>
      <c r="B540">
        <v>2009</v>
      </c>
      <c r="C540">
        <v>6</v>
      </c>
      <c r="D540" t="s">
        <v>1593</v>
      </c>
      <c r="E540" t="s">
        <v>1606</v>
      </c>
      <c r="F540">
        <v>26</v>
      </c>
      <c r="G540" t="s">
        <v>1602</v>
      </c>
    </row>
    <row r="541" spans="1:7" x14ac:dyDescent="0.55000000000000004">
      <c r="A541" s="1">
        <v>39987</v>
      </c>
      <c r="B541">
        <v>2009</v>
      </c>
      <c r="C541">
        <v>6</v>
      </c>
      <c r="D541" t="s">
        <v>1593</v>
      </c>
      <c r="E541" t="s">
        <v>1606</v>
      </c>
      <c r="F541">
        <v>26</v>
      </c>
      <c r="G541" t="s">
        <v>1596</v>
      </c>
    </row>
    <row r="542" spans="1:7" x14ac:dyDescent="0.55000000000000004">
      <c r="A542" s="1">
        <v>39988</v>
      </c>
      <c r="B542">
        <v>2009</v>
      </c>
      <c r="C542">
        <v>6</v>
      </c>
      <c r="D542" t="s">
        <v>1593</v>
      </c>
      <c r="E542" t="s">
        <v>1606</v>
      </c>
      <c r="F542">
        <v>26</v>
      </c>
      <c r="G542" t="s">
        <v>1597</v>
      </c>
    </row>
    <row r="543" spans="1:7" x14ac:dyDescent="0.55000000000000004">
      <c r="A543" s="1">
        <v>39989</v>
      </c>
      <c r="B543">
        <v>2009</v>
      </c>
      <c r="C543">
        <v>6</v>
      </c>
      <c r="D543" t="s">
        <v>1593</v>
      </c>
      <c r="E543" t="s">
        <v>1606</v>
      </c>
      <c r="F543">
        <v>26</v>
      </c>
      <c r="G543" t="s">
        <v>1598</v>
      </c>
    </row>
    <row r="544" spans="1:7" x14ac:dyDescent="0.55000000000000004">
      <c r="A544" s="1">
        <v>39990</v>
      </c>
      <c r="B544">
        <v>2009</v>
      </c>
      <c r="C544">
        <v>6</v>
      </c>
      <c r="D544" t="s">
        <v>1593</v>
      </c>
      <c r="E544" t="s">
        <v>1606</v>
      </c>
      <c r="F544">
        <v>26</v>
      </c>
      <c r="G544" t="s">
        <v>1599</v>
      </c>
    </row>
    <row r="545" spans="1:7" x14ac:dyDescent="0.55000000000000004">
      <c r="A545" s="1">
        <v>39991</v>
      </c>
      <c r="B545">
        <v>2009</v>
      </c>
      <c r="C545">
        <v>6</v>
      </c>
      <c r="D545" t="s">
        <v>1593</v>
      </c>
      <c r="E545" t="s">
        <v>1606</v>
      </c>
      <c r="F545">
        <v>26</v>
      </c>
      <c r="G545" t="s">
        <v>1600</v>
      </c>
    </row>
    <row r="546" spans="1:7" x14ac:dyDescent="0.55000000000000004">
      <c r="A546" s="1">
        <v>39992</v>
      </c>
      <c r="B546">
        <v>2009</v>
      </c>
      <c r="C546">
        <v>6</v>
      </c>
      <c r="D546" t="s">
        <v>1593</v>
      </c>
      <c r="E546" t="s">
        <v>1606</v>
      </c>
      <c r="F546">
        <v>27</v>
      </c>
      <c r="G546" t="s">
        <v>1601</v>
      </c>
    </row>
    <row r="547" spans="1:7" x14ac:dyDescent="0.55000000000000004">
      <c r="A547" s="1">
        <v>39993</v>
      </c>
      <c r="B547">
        <v>2009</v>
      </c>
      <c r="C547">
        <v>6</v>
      </c>
      <c r="D547" t="s">
        <v>1593</v>
      </c>
      <c r="E547" t="s">
        <v>1606</v>
      </c>
      <c r="F547">
        <v>27</v>
      </c>
      <c r="G547" t="s">
        <v>1602</v>
      </c>
    </row>
    <row r="548" spans="1:7" x14ac:dyDescent="0.55000000000000004">
      <c r="A548" s="1">
        <v>39994</v>
      </c>
      <c r="B548">
        <v>2009</v>
      </c>
      <c r="C548">
        <v>6</v>
      </c>
      <c r="D548" t="s">
        <v>1593</v>
      </c>
      <c r="E548" t="s">
        <v>1606</v>
      </c>
      <c r="F548">
        <v>27</v>
      </c>
      <c r="G548" t="s">
        <v>1596</v>
      </c>
    </row>
    <row r="549" spans="1:7" x14ac:dyDescent="0.55000000000000004">
      <c r="A549" s="1">
        <v>39995</v>
      </c>
      <c r="B549">
        <v>2009</v>
      </c>
      <c r="C549">
        <v>7</v>
      </c>
      <c r="D549" t="s">
        <v>1608</v>
      </c>
      <c r="E549" t="s">
        <v>1609</v>
      </c>
      <c r="F549">
        <v>27</v>
      </c>
      <c r="G549" t="s">
        <v>1597</v>
      </c>
    </row>
    <row r="550" spans="1:7" x14ac:dyDescent="0.55000000000000004">
      <c r="A550" s="1">
        <v>39996</v>
      </c>
      <c r="B550">
        <v>2009</v>
      </c>
      <c r="C550">
        <v>7</v>
      </c>
      <c r="D550" t="s">
        <v>1608</v>
      </c>
      <c r="E550" t="s">
        <v>1609</v>
      </c>
      <c r="F550">
        <v>27</v>
      </c>
      <c r="G550" t="s">
        <v>1598</v>
      </c>
    </row>
    <row r="551" spans="1:7" x14ac:dyDescent="0.55000000000000004">
      <c r="A551" s="1">
        <v>39997</v>
      </c>
      <c r="B551">
        <v>2009</v>
      </c>
      <c r="C551">
        <v>7</v>
      </c>
      <c r="D551" t="s">
        <v>1608</v>
      </c>
      <c r="E551" t="s">
        <v>1609</v>
      </c>
      <c r="F551">
        <v>27</v>
      </c>
      <c r="G551" t="s">
        <v>1599</v>
      </c>
    </row>
    <row r="552" spans="1:7" x14ac:dyDescent="0.55000000000000004">
      <c r="A552" s="1">
        <v>39998</v>
      </c>
      <c r="B552">
        <v>2009</v>
      </c>
      <c r="C552">
        <v>7</v>
      </c>
      <c r="D552" t="s">
        <v>1608</v>
      </c>
      <c r="E552" t="s">
        <v>1609</v>
      </c>
      <c r="F552">
        <v>27</v>
      </c>
      <c r="G552" t="s">
        <v>1600</v>
      </c>
    </row>
    <row r="553" spans="1:7" x14ac:dyDescent="0.55000000000000004">
      <c r="A553" s="1">
        <v>39999</v>
      </c>
      <c r="B553">
        <v>2009</v>
      </c>
      <c r="C553">
        <v>7</v>
      </c>
      <c r="D553" t="s">
        <v>1608</v>
      </c>
      <c r="E553" t="s">
        <v>1609</v>
      </c>
      <c r="F553">
        <v>28</v>
      </c>
      <c r="G553" t="s">
        <v>1601</v>
      </c>
    </row>
    <row r="554" spans="1:7" x14ac:dyDescent="0.55000000000000004">
      <c r="A554" s="1">
        <v>40000</v>
      </c>
      <c r="B554">
        <v>2009</v>
      </c>
      <c r="C554">
        <v>7</v>
      </c>
      <c r="D554" t="s">
        <v>1608</v>
      </c>
      <c r="E554" t="s">
        <v>1609</v>
      </c>
      <c r="F554">
        <v>28</v>
      </c>
      <c r="G554" t="s">
        <v>1602</v>
      </c>
    </row>
    <row r="555" spans="1:7" x14ac:dyDescent="0.55000000000000004">
      <c r="A555" s="1">
        <v>40001</v>
      </c>
      <c r="B555">
        <v>2009</v>
      </c>
      <c r="C555">
        <v>7</v>
      </c>
      <c r="D555" t="s">
        <v>1608</v>
      </c>
      <c r="E555" t="s">
        <v>1609</v>
      </c>
      <c r="F555">
        <v>28</v>
      </c>
      <c r="G555" t="s">
        <v>1596</v>
      </c>
    </row>
    <row r="556" spans="1:7" x14ac:dyDescent="0.55000000000000004">
      <c r="A556" s="1">
        <v>40002</v>
      </c>
      <c r="B556">
        <v>2009</v>
      </c>
      <c r="C556">
        <v>7</v>
      </c>
      <c r="D556" t="s">
        <v>1608</v>
      </c>
      <c r="E556" t="s">
        <v>1609</v>
      </c>
      <c r="F556">
        <v>28</v>
      </c>
      <c r="G556" t="s">
        <v>1597</v>
      </c>
    </row>
    <row r="557" spans="1:7" x14ac:dyDescent="0.55000000000000004">
      <c r="A557" s="1">
        <v>40003</v>
      </c>
      <c r="B557">
        <v>2009</v>
      </c>
      <c r="C557">
        <v>7</v>
      </c>
      <c r="D557" t="s">
        <v>1608</v>
      </c>
      <c r="E557" t="s">
        <v>1609</v>
      </c>
      <c r="F557">
        <v>28</v>
      </c>
      <c r="G557" t="s">
        <v>1598</v>
      </c>
    </row>
    <row r="558" spans="1:7" x14ac:dyDescent="0.55000000000000004">
      <c r="A558" s="1">
        <v>40004</v>
      </c>
      <c r="B558">
        <v>2009</v>
      </c>
      <c r="C558">
        <v>7</v>
      </c>
      <c r="D558" t="s">
        <v>1608</v>
      </c>
      <c r="E558" t="s">
        <v>1609</v>
      </c>
      <c r="F558">
        <v>28</v>
      </c>
      <c r="G558" t="s">
        <v>1599</v>
      </c>
    </row>
    <row r="559" spans="1:7" x14ac:dyDescent="0.55000000000000004">
      <c r="A559" s="1">
        <v>40005</v>
      </c>
      <c r="B559">
        <v>2009</v>
      </c>
      <c r="C559">
        <v>7</v>
      </c>
      <c r="D559" t="s">
        <v>1608</v>
      </c>
      <c r="E559" t="s">
        <v>1609</v>
      </c>
      <c r="F559">
        <v>28</v>
      </c>
      <c r="G559" t="s">
        <v>1600</v>
      </c>
    </row>
    <row r="560" spans="1:7" x14ac:dyDescent="0.55000000000000004">
      <c r="A560" s="1">
        <v>40006</v>
      </c>
      <c r="B560">
        <v>2009</v>
      </c>
      <c r="C560">
        <v>7</v>
      </c>
      <c r="D560" t="s">
        <v>1608</v>
      </c>
      <c r="E560" t="s">
        <v>1609</v>
      </c>
      <c r="F560">
        <v>29</v>
      </c>
      <c r="G560" t="s">
        <v>1601</v>
      </c>
    </row>
    <row r="561" spans="1:7" x14ac:dyDescent="0.55000000000000004">
      <c r="A561" s="1">
        <v>40007</v>
      </c>
      <c r="B561">
        <v>2009</v>
      </c>
      <c r="C561">
        <v>7</v>
      </c>
      <c r="D561" t="s">
        <v>1608</v>
      </c>
      <c r="E561" t="s">
        <v>1609</v>
      </c>
      <c r="F561">
        <v>29</v>
      </c>
      <c r="G561" t="s">
        <v>1602</v>
      </c>
    </row>
    <row r="562" spans="1:7" x14ac:dyDescent="0.55000000000000004">
      <c r="A562" s="1">
        <v>40008</v>
      </c>
      <c r="B562">
        <v>2009</v>
      </c>
      <c r="C562">
        <v>7</v>
      </c>
      <c r="D562" t="s">
        <v>1608</v>
      </c>
      <c r="E562" t="s">
        <v>1609</v>
      </c>
      <c r="F562">
        <v>29</v>
      </c>
      <c r="G562" t="s">
        <v>1596</v>
      </c>
    </row>
    <row r="563" spans="1:7" x14ac:dyDescent="0.55000000000000004">
      <c r="A563" s="1">
        <v>40009</v>
      </c>
      <c r="B563">
        <v>2009</v>
      </c>
      <c r="C563">
        <v>7</v>
      </c>
      <c r="D563" t="s">
        <v>1608</v>
      </c>
      <c r="E563" t="s">
        <v>1609</v>
      </c>
      <c r="F563">
        <v>29</v>
      </c>
      <c r="G563" t="s">
        <v>1597</v>
      </c>
    </row>
    <row r="564" spans="1:7" x14ac:dyDescent="0.55000000000000004">
      <c r="A564" s="1">
        <v>40010</v>
      </c>
      <c r="B564">
        <v>2009</v>
      </c>
      <c r="C564">
        <v>7</v>
      </c>
      <c r="D564" t="s">
        <v>1608</v>
      </c>
      <c r="E564" t="s">
        <v>1609</v>
      </c>
      <c r="F564">
        <v>29</v>
      </c>
      <c r="G564" t="s">
        <v>1598</v>
      </c>
    </row>
    <row r="565" spans="1:7" x14ac:dyDescent="0.55000000000000004">
      <c r="A565" s="1">
        <v>40011</v>
      </c>
      <c r="B565">
        <v>2009</v>
      </c>
      <c r="C565">
        <v>7</v>
      </c>
      <c r="D565" t="s">
        <v>1608</v>
      </c>
      <c r="E565" t="s">
        <v>1609</v>
      </c>
      <c r="F565">
        <v>29</v>
      </c>
      <c r="G565" t="s">
        <v>1599</v>
      </c>
    </row>
    <row r="566" spans="1:7" x14ac:dyDescent="0.55000000000000004">
      <c r="A566" s="1">
        <v>40012</v>
      </c>
      <c r="B566">
        <v>2009</v>
      </c>
      <c r="C566">
        <v>7</v>
      </c>
      <c r="D566" t="s">
        <v>1608</v>
      </c>
      <c r="E566" t="s">
        <v>1609</v>
      </c>
      <c r="F566">
        <v>29</v>
      </c>
      <c r="G566" t="s">
        <v>1600</v>
      </c>
    </row>
    <row r="567" spans="1:7" x14ac:dyDescent="0.55000000000000004">
      <c r="A567" s="1">
        <v>40013</v>
      </c>
      <c r="B567">
        <v>2009</v>
      </c>
      <c r="C567">
        <v>7</v>
      </c>
      <c r="D567" t="s">
        <v>1608</v>
      </c>
      <c r="E567" t="s">
        <v>1609</v>
      </c>
      <c r="F567">
        <v>30</v>
      </c>
      <c r="G567" t="s">
        <v>1601</v>
      </c>
    </row>
    <row r="568" spans="1:7" x14ac:dyDescent="0.55000000000000004">
      <c r="A568" s="1">
        <v>40014</v>
      </c>
      <c r="B568">
        <v>2009</v>
      </c>
      <c r="C568">
        <v>7</v>
      </c>
      <c r="D568" t="s">
        <v>1608</v>
      </c>
      <c r="E568" t="s">
        <v>1609</v>
      </c>
      <c r="F568">
        <v>30</v>
      </c>
      <c r="G568" t="s">
        <v>1602</v>
      </c>
    </row>
    <row r="569" spans="1:7" x14ac:dyDescent="0.55000000000000004">
      <c r="A569" s="1">
        <v>40015</v>
      </c>
      <c r="B569">
        <v>2009</v>
      </c>
      <c r="C569">
        <v>7</v>
      </c>
      <c r="D569" t="s">
        <v>1608</v>
      </c>
      <c r="E569" t="s">
        <v>1609</v>
      </c>
      <c r="F569">
        <v>30</v>
      </c>
      <c r="G569" t="s">
        <v>1596</v>
      </c>
    </row>
    <row r="570" spans="1:7" x14ac:dyDescent="0.55000000000000004">
      <c r="A570" s="1">
        <v>40016</v>
      </c>
      <c r="B570">
        <v>2009</v>
      </c>
      <c r="C570">
        <v>7</v>
      </c>
      <c r="D570" t="s">
        <v>1608</v>
      </c>
      <c r="E570" t="s">
        <v>1609</v>
      </c>
      <c r="F570">
        <v>30</v>
      </c>
      <c r="G570" t="s">
        <v>1597</v>
      </c>
    </row>
    <row r="571" spans="1:7" x14ac:dyDescent="0.55000000000000004">
      <c r="A571" s="1">
        <v>40017</v>
      </c>
      <c r="B571">
        <v>2009</v>
      </c>
      <c r="C571">
        <v>7</v>
      </c>
      <c r="D571" t="s">
        <v>1608</v>
      </c>
      <c r="E571" t="s">
        <v>1609</v>
      </c>
      <c r="F571">
        <v>30</v>
      </c>
      <c r="G571" t="s">
        <v>1598</v>
      </c>
    </row>
    <row r="572" spans="1:7" x14ac:dyDescent="0.55000000000000004">
      <c r="A572" s="1">
        <v>40018</v>
      </c>
      <c r="B572">
        <v>2009</v>
      </c>
      <c r="C572">
        <v>7</v>
      </c>
      <c r="D572" t="s">
        <v>1608</v>
      </c>
      <c r="E572" t="s">
        <v>1609</v>
      </c>
      <c r="F572">
        <v>30</v>
      </c>
      <c r="G572" t="s">
        <v>1599</v>
      </c>
    </row>
    <row r="573" spans="1:7" x14ac:dyDescent="0.55000000000000004">
      <c r="A573" s="1">
        <v>40019</v>
      </c>
      <c r="B573">
        <v>2009</v>
      </c>
      <c r="C573">
        <v>7</v>
      </c>
      <c r="D573" t="s">
        <v>1608</v>
      </c>
      <c r="E573" t="s">
        <v>1609</v>
      </c>
      <c r="F573">
        <v>30</v>
      </c>
      <c r="G573" t="s">
        <v>1600</v>
      </c>
    </row>
    <row r="574" spans="1:7" x14ac:dyDescent="0.55000000000000004">
      <c r="A574" s="1">
        <v>40020</v>
      </c>
      <c r="B574">
        <v>2009</v>
      </c>
      <c r="C574">
        <v>7</v>
      </c>
      <c r="D574" t="s">
        <v>1608</v>
      </c>
      <c r="E574" t="s">
        <v>1609</v>
      </c>
      <c r="F574">
        <v>31</v>
      </c>
      <c r="G574" t="s">
        <v>1601</v>
      </c>
    </row>
    <row r="575" spans="1:7" x14ac:dyDescent="0.55000000000000004">
      <c r="A575" s="1">
        <v>40021</v>
      </c>
      <c r="B575">
        <v>2009</v>
      </c>
      <c r="C575">
        <v>7</v>
      </c>
      <c r="D575" t="s">
        <v>1608</v>
      </c>
      <c r="E575" t="s">
        <v>1609</v>
      </c>
      <c r="F575">
        <v>31</v>
      </c>
      <c r="G575" t="s">
        <v>1602</v>
      </c>
    </row>
    <row r="576" spans="1:7" x14ac:dyDescent="0.55000000000000004">
      <c r="A576" s="1">
        <v>40022</v>
      </c>
      <c r="B576">
        <v>2009</v>
      </c>
      <c r="C576">
        <v>7</v>
      </c>
      <c r="D576" t="s">
        <v>1608</v>
      </c>
      <c r="E576" t="s">
        <v>1609</v>
      </c>
      <c r="F576">
        <v>31</v>
      </c>
      <c r="G576" t="s">
        <v>1596</v>
      </c>
    </row>
    <row r="577" spans="1:7" x14ac:dyDescent="0.55000000000000004">
      <c r="A577" s="1">
        <v>40023</v>
      </c>
      <c r="B577">
        <v>2009</v>
      </c>
      <c r="C577">
        <v>7</v>
      </c>
      <c r="D577" t="s">
        <v>1608</v>
      </c>
      <c r="E577" t="s">
        <v>1609</v>
      </c>
      <c r="F577">
        <v>31</v>
      </c>
      <c r="G577" t="s">
        <v>1597</v>
      </c>
    </row>
    <row r="578" spans="1:7" x14ac:dyDescent="0.55000000000000004">
      <c r="A578" s="1">
        <v>40024</v>
      </c>
      <c r="B578">
        <v>2009</v>
      </c>
      <c r="C578">
        <v>7</v>
      </c>
      <c r="D578" t="s">
        <v>1608</v>
      </c>
      <c r="E578" t="s">
        <v>1609</v>
      </c>
      <c r="F578">
        <v>31</v>
      </c>
      <c r="G578" t="s">
        <v>1598</v>
      </c>
    </row>
    <row r="579" spans="1:7" x14ac:dyDescent="0.55000000000000004">
      <c r="A579" s="1">
        <v>40025</v>
      </c>
      <c r="B579">
        <v>2009</v>
      </c>
      <c r="C579">
        <v>7</v>
      </c>
      <c r="D579" t="s">
        <v>1608</v>
      </c>
      <c r="E579" t="s">
        <v>1609</v>
      </c>
      <c r="F579">
        <v>31</v>
      </c>
      <c r="G579" t="s">
        <v>1599</v>
      </c>
    </row>
    <row r="580" spans="1:7" x14ac:dyDescent="0.55000000000000004">
      <c r="A580" s="1">
        <v>40026</v>
      </c>
      <c r="B580">
        <v>2009</v>
      </c>
      <c r="C580">
        <v>8</v>
      </c>
      <c r="D580" t="s">
        <v>1610</v>
      </c>
      <c r="E580" t="s">
        <v>1609</v>
      </c>
      <c r="F580">
        <v>31</v>
      </c>
      <c r="G580" t="s">
        <v>1600</v>
      </c>
    </row>
    <row r="581" spans="1:7" x14ac:dyDescent="0.55000000000000004">
      <c r="A581" s="1">
        <v>40027</v>
      </c>
      <c r="B581">
        <v>2009</v>
      </c>
      <c r="C581">
        <v>8</v>
      </c>
      <c r="D581" t="s">
        <v>1610</v>
      </c>
      <c r="E581" t="s">
        <v>1609</v>
      </c>
      <c r="F581">
        <v>32</v>
      </c>
      <c r="G581" t="s">
        <v>1601</v>
      </c>
    </row>
    <row r="582" spans="1:7" x14ac:dyDescent="0.55000000000000004">
      <c r="A582" s="1">
        <v>40028</v>
      </c>
      <c r="B582">
        <v>2009</v>
      </c>
      <c r="C582">
        <v>8</v>
      </c>
      <c r="D582" t="s">
        <v>1610</v>
      </c>
      <c r="E582" t="s">
        <v>1609</v>
      </c>
      <c r="F582">
        <v>32</v>
      </c>
      <c r="G582" t="s">
        <v>1602</v>
      </c>
    </row>
    <row r="583" spans="1:7" x14ac:dyDescent="0.55000000000000004">
      <c r="A583" s="1">
        <v>40029</v>
      </c>
      <c r="B583">
        <v>2009</v>
      </c>
      <c r="C583">
        <v>8</v>
      </c>
      <c r="D583" t="s">
        <v>1610</v>
      </c>
      <c r="E583" t="s">
        <v>1609</v>
      </c>
      <c r="F583">
        <v>32</v>
      </c>
      <c r="G583" t="s">
        <v>1596</v>
      </c>
    </row>
    <row r="584" spans="1:7" x14ac:dyDescent="0.55000000000000004">
      <c r="A584" s="1">
        <v>40030</v>
      </c>
      <c r="B584">
        <v>2009</v>
      </c>
      <c r="C584">
        <v>8</v>
      </c>
      <c r="D584" t="s">
        <v>1610</v>
      </c>
      <c r="E584" t="s">
        <v>1609</v>
      </c>
      <c r="F584">
        <v>32</v>
      </c>
      <c r="G584" t="s">
        <v>1597</v>
      </c>
    </row>
    <row r="585" spans="1:7" x14ac:dyDescent="0.55000000000000004">
      <c r="A585" s="1">
        <v>40031</v>
      </c>
      <c r="B585">
        <v>2009</v>
      </c>
      <c r="C585">
        <v>8</v>
      </c>
      <c r="D585" t="s">
        <v>1610</v>
      </c>
      <c r="E585" t="s">
        <v>1609</v>
      </c>
      <c r="F585">
        <v>32</v>
      </c>
      <c r="G585" t="s">
        <v>1598</v>
      </c>
    </row>
    <row r="586" spans="1:7" x14ac:dyDescent="0.55000000000000004">
      <c r="A586" s="1">
        <v>40032</v>
      </c>
      <c r="B586">
        <v>2009</v>
      </c>
      <c r="C586">
        <v>8</v>
      </c>
      <c r="D586" t="s">
        <v>1610</v>
      </c>
      <c r="E586" t="s">
        <v>1609</v>
      </c>
      <c r="F586">
        <v>32</v>
      </c>
      <c r="G586" t="s">
        <v>1599</v>
      </c>
    </row>
    <row r="587" spans="1:7" x14ac:dyDescent="0.55000000000000004">
      <c r="A587" s="1">
        <v>40033</v>
      </c>
      <c r="B587">
        <v>2009</v>
      </c>
      <c r="C587">
        <v>8</v>
      </c>
      <c r="D587" t="s">
        <v>1610</v>
      </c>
      <c r="E587" t="s">
        <v>1609</v>
      </c>
      <c r="F587">
        <v>32</v>
      </c>
      <c r="G587" t="s">
        <v>1600</v>
      </c>
    </row>
    <row r="588" spans="1:7" x14ac:dyDescent="0.55000000000000004">
      <c r="A588" s="1">
        <v>40034</v>
      </c>
      <c r="B588">
        <v>2009</v>
      </c>
      <c r="C588">
        <v>8</v>
      </c>
      <c r="D588" t="s">
        <v>1610</v>
      </c>
      <c r="E588" t="s">
        <v>1609</v>
      </c>
      <c r="F588">
        <v>33</v>
      </c>
      <c r="G588" t="s">
        <v>1601</v>
      </c>
    </row>
    <row r="589" spans="1:7" x14ac:dyDescent="0.55000000000000004">
      <c r="A589" s="1">
        <v>40035</v>
      </c>
      <c r="B589">
        <v>2009</v>
      </c>
      <c r="C589">
        <v>8</v>
      </c>
      <c r="D589" t="s">
        <v>1610</v>
      </c>
      <c r="E589" t="s">
        <v>1609</v>
      </c>
      <c r="F589">
        <v>33</v>
      </c>
      <c r="G589" t="s">
        <v>1602</v>
      </c>
    </row>
    <row r="590" spans="1:7" x14ac:dyDescent="0.55000000000000004">
      <c r="A590" s="1">
        <v>40036</v>
      </c>
      <c r="B590">
        <v>2009</v>
      </c>
      <c r="C590">
        <v>8</v>
      </c>
      <c r="D590" t="s">
        <v>1610</v>
      </c>
      <c r="E590" t="s">
        <v>1609</v>
      </c>
      <c r="F590">
        <v>33</v>
      </c>
      <c r="G590" t="s">
        <v>1596</v>
      </c>
    </row>
    <row r="591" spans="1:7" x14ac:dyDescent="0.55000000000000004">
      <c r="A591" s="1">
        <v>40037</v>
      </c>
      <c r="B591">
        <v>2009</v>
      </c>
      <c r="C591">
        <v>8</v>
      </c>
      <c r="D591" t="s">
        <v>1610</v>
      </c>
      <c r="E591" t="s">
        <v>1609</v>
      </c>
      <c r="F591">
        <v>33</v>
      </c>
      <c r="G591" t="s">
        <v>1597</v>
      </c>
    </row>
    <row r="592" spans="1:7" x14ac:dyDescent="0.55000000000000004">
      <c r="A592" s="1">
        <v>40038</v>
      </c>
      <c r="B592">
        <v>2009</v>
      </c>
      <c r="C592">
        <v>8</v>
      </c>
      <c r="D592" t="s">
        <v>1610</v>
      </c>
      <c r="E592" t="s">
        <v>1609</v>
      </c>
      <c r="F592">
        <v>33</v>
      </c>
      <c r="G592" t="s">
        <v>1598</v>
      </c>
    </row>
    <row r="593" spans="1:7" x14ac:dyDescent="0.55000000000000004">
      <c r="A593" s="1">
        <v>40039</v>
      </c>
      <c r="B593">
        <v>2009</v>
      </c>
      <c r="C593">
        <v>8</v>
      </c>
      <c r="D593" t="s">
        <v>1610</v>
      </c>
      <c r="E593" t="s">
        <v>1609</v>
      </c>
      <c r="F593">
        <v>33</v>
      </c>
      <c r="G593" t="s">
        <v>1599</v>
      </c>
    </row>
    <row r="594" spans="1:7" x14ac:dyDescent="0.55000000000000004">
      <c r="A594" s="1">
        <v>40040</v>
      </c>
      <c r="B594">
        <v>2009</v>
      </c>
      <c r="C594">
        <v>8</v>
      </c>
      <c r="D594" t="s">
        <v>1610</v>
      </c>
      <c r="E594" t="s">
        <v>1609</v>
      </c>
      <c r="F594">
        <v>33</v>
      </c>
      <c r="G594" t="s">
        <v>1600</v>
      </c>
    </row>
    <row r="595" spans="1:7" x14ac:dyDescent="0.55000000000000004">
      <c r="A595" s="1">
        <v>40041</v>
      </c>
      <c r="B595">
        <v>2009</v>
      </c>
      <c r="C595">
        <v>8</v>
      </c>
      <c r="D595" t="s">
        <v>1610</v>
      </c>
      <c r="E595" t="s">
        <v>1609</v>
      </c>
      <c r="F595">
        <v>34</v>
      </c>
      <c r="G595" t="s">
        <v>1601</v>
      </c>
    </row>
    <row r="596" spans="1:7" x14ac:dyDescent="0.55000000000000004">
      <c r="A596" s="1">
        <v>40042</v>
      </c>
      <c r="B596">
        <v>2009</v>
      </c>
      <c r="C596">
        <v>8</v>
      </c>
      <c r="D596" t="s">
        <v>1610</v>
      </c>
      <c r="E596" t="s">
        <v>1609</v>
      </c>
      <c r="F596">
        <v>34</v>
      </c>
      <c r="G596" t="s">
        <v>1602</v>
      </c>
    </row>
    <row r="597" spans="1:7" x14ac:dyDescent="0.55000000000000004">
      <c r="A597" s="1">
        <v>40043</v>
      </c>
      <c r="B597">
        <v>2009</v>
      </c>
      <c r="C597">
        <v>8</v>
      </c>
      <c r="D597" t="s">
        <v>1610</v>
      </c>
      <c r="E597" t="s">
        <v>1609</v>
      </c>
      <c r="F597">
        <v>34</v>
      </c>
      <c r="G597" t="s">
        <v>1596</v>
      </c>
    </row>
    <row r="598" spans="1:7" x14ac:dyDescent="0.55000000000000004">
      <c r="A598" s="1">
        <v>40044</v>
      </c>
      <c r="B598">
        <v>2009</v>
      </c>
      <c r="C598">
        <v>8</v>
      </c>
      <c r="D598" t="s">
        <v>1610</v>
      </c>
      <c r="E598" t="s">
        <v>1609</v>
      </c>
      <c r="F598">
        <v>34</v>
      </c>
      <c r="G598" t="s">
        <v>1597</v>
      </c>
    </row>
    <row r="599" spans="1:7" x14ac:dyDescent="0.55000000000000004">
      <c r="A599" s="1">
        <v>40045</v>
      </c>
      <c r="B599">
        <v>2009</v>
      </c>
      <c r="C599">
        <v>8</v>
      </c>
      <c r="D599" t="s">
        <v>1610</v>
      </c>
      <c r="E599" t="s">
        <v>1609</v>
      </c>
      <c r="F599">
        <v>34</v>
      </c>
      <c r="G599" t="s">
        <v>1598</v>
      </c>
    </row>
    <row r="600" spans="1:7" x14ac:dyDescent="0.55000000000000004">
      <c r="A600" s="1">
        <v>40046</v>
      </c>
      <c r="B600">
        <v>2009</v>
      </c>
      <c r="C600">
        <v>8</v>
      </c>
      <c r="D600" t="s">
        <v>1610</v>
      </c>
      <c r="E600" t="s">
        <v>1609</v>
      </c>
      <c r="F600">
        <v>34</v>
      </c>
      <c r="G600" t="s">
        <v>1599</v>
      </c>
    </row>
    <row r="601" spans="1:7" x14ac:dyDescent="0.55000000000000004">
      <c r="A601" s="1">
        <v>40047</v>
      </c>
      <c r="B601">
        <v>2009</v>
      </c>
      <c r="C601">
        <v>8</v>
      </c>
      <c r="D601" t="s">
        <v>1610</v>
      </c>
      <c r="E601" t="s">
        <v>1609</v>
      </c>
      <c r="F601">
        <v>34</v>
      </c>
      <c r="G601" t="s">
        <v>1600</v>
      </c>
    </row>
    <row r="602" spans="1:7" x14ac:dyDescent="0.55000000000000004">
      <c r="A602" s="1">
        <v>40048</v>
      </c>
      <c r="B602">
        <v>2009</v>
      </c>
      <c r="C602">
        <v>8</v>
      </c>
      <c r="D602" t="s">
        <v>1610</v>
      </c>
      <c r="E602" t="s">
        <v>1609</v>
      </c>
      <c r="F602">
        <v>35</v>
      </c>
      <c r="G602" t="s">
        <v>1601</v>
      </c>
    </row>
    <row r="603" spans="1:7" x14ac:dyDescent="0.55000000000000004">
      <c r="A603" s="1">
        <v>40049</v>
      </c>
      <c r="B603">
        <v>2009</v>
      </c>
      <c r="C603">
        <v>8</v>
      </c>
      <c r="D603" t="s">
        <v>1610</v>
      </c>
      <c r="E603" t="s">
        <v>1609</v>
      </c>
      <c r="F603">
        <v>35</v>
      </c>
      <c r="G603" t="s">
        <v>1602</v>
      </c>
    </row>
    <row r="604" spans="1:7" x14ac:dyDescent="0.55000000000000004">
      <c r="A604" s="1">
        <v>40050</v>
      </c>
      <c r="B604">
        <v>2009</v>
      </c>
      <c r="C604">
        <v>8</v>
      </c>
      <c r="D604" t="s">
        <v>1610</v>
      </c>
      <c r="E604" t="s">
        <v>1609</v>
      </c>
      <c r="F604">
        <v>35</v>
      </c>
      <c r="G604" t="s">
        <v>1596</v>
      </c>
    </row>
    <row r="605" spans="1:7" x14ac:dyDescent="0.55000000000000004">
      <c r="A605" s="1">
        <v>40051</v>
      </c>
      <c r="B605">
        <v>2009</v>
      </c>
      <c r="C605">
        <v>8</v>
      </c>
      <c r="D605" t="s">
        <v>1610</v>
      </c>
      <c r="E605" t="s">
        <v>1609</v>
      </c>
      <c r="F605">
        <v>35</v>
      </c>
      <c r="G605" t="s">
        <v>1597</v>
      </c>
    </row>
    <row r="606" spans="1:7" x14ac:dyDescent="0.55000000000000004">
      <c r="A606" s="1">
        <v>40052</v>
      </c>
      <c r="B606">
        <v>2009</v>
      </c>
      <c r="C606">
        <v>8</v>
      </c>
      <c r="D606" t="s">
        <v>1610</v>
      </c>
      <c r="E606" t="s">
        <v>1609</v>
      </c>
      <c r="F606">
        <v>35</v>
      </c>
      <c r="G606" t="s">
        <v>1598</v>
      </c>
    </row>
    <row r="607" spans="1:7" x14ac:dyDescent="0.55000000000000004">
      <c r="A607" s="1">
        <v>40053</v>
      </c>
      <c r="B607">
        <v>2009</v>
      </c>
      <c r="C607">
        <v>8</v>
      </c>
      <c r="D607" t="s">
        <v>1610</v>
      </c>
      <c r="E607" t="s">
        <v>1609</v>
      </c>
      <c r="F607">
        <v>35</v>
      </c>
      <c r="G607" t="s">
        <v>1599</v>
      </c>
    </row>
    <row r="608" spans="1:7" x14ac:dyDescent="0.55000000000000004">
      <c r="A608" s="1">
        <v>40054</v>
      </c>
      <c r="B608">
        <v>2009</v>
      </c>
      <c r="C608">
        <v>8</v>
      </c>
      <c r="D608" t="s">
        <v>1610</v>
      </c>
      <c r="E608" t="s">
        <v>1609</v>
      </c>
      <c r="F608">
        <v>35</v>
      </c>
      <c r="G608" t="s">
        <v>1600</v>
      </c>
    </row>
    <row r="609" spans="1:7" x14ac:dyDescent="0.55000000000000004">
      <c r="A609" s="1">
        <v>40055</v>
      </c>
      <c r="B609">
        <v>2009</v>
      </c>
      <c r="C609">
        <v>8</v>
      </c>
      <c r="D609" t="s">
        <v>1610</v>
      </c>
      <c r="E609" t="s">
        <v>1609</v>
      </c>
      <c r="F609">
        <v>36</v>
      </c>
      <c r="G609" t="s">
        <v>1601</v>
      </c>
    </row>
    <row r="610" spans="1:7" x14ac:dyDescent="0.55000000000000004">
      <c r="A610" s="1">
        <v>40056</v>
      </c>
      <c r="B610">
        <v>2009</v>
      </c>
      <c r="C610">
        <v>8</v>
      </c>
      <c r="D610" t="s">
        <v>1610</v>
      </c>
      <c r="E610" t="s">
        <v>1609</v>
      </c>
      <c r="F610">
        <v>36</v>
      </c>
      <c r="G610" t="s">
        <v>1602</v>
      </c>
    </row>
    <row r="611" spans="1:7" x14ac:dyDescent="0.55000000000000004">
      <c r="A611" s="1">
        <v>40057</v>
      </c>
      <c r="B611">
        <v>2009</v>
      </c>
      <c r="C611">
        <v>9</v>
      </c>
      <c r="D611" t="s">
        <v>1611</v>
      </c>
      <c r="E611" t="s">
        <v>1609</v>
      </c>
      <c r="F611">
        <v>36</v>
      </c>
      <c r="G611" t="s">
        <v>1596</v>
      </c>
    </row>
    <row r="612" spans="1:7" x14ac:dyDescent="0.55000000000000004">
      <c r="A612" s="1">
        <v>40058</v>
      </c>
      <c r="B612">
        <v>2009</v>
      </c>
      <c r="C612">
        <v>9</v>
      </c>
      <c r="D612" t="s">
        <v>1611</v>
      </c>
      <c r="E612" t="s">
        <v>1609</v>
      </c>
      <c r="F612">
        <v>36</v>
      </c>
      <c r="G612" t="s">
        <v>1597</v>
      </c>
    </row>
    <row r="613" spans="1:7" x14ac:dyDescent="0.55000000000000004">
      <c r="A613" s="1">
        <v>40059</v>
      </c>
      <c r="B613">
        <v>2009</v>
      </c>
      <c r="C613">
        <v>9</v>
      </c>
      <c r="D613" t="s">
        <v>1611</v>
      </c>
      <c r="E613" t="s">
        <v>1609</v>
      </c>
      <c r="F613">
        <v>36</v>
      </c>
      <c r="G613" t="s">
        <v>1598</v>
      </c>
    </row>
    <row r="614" spans="1:7" x14ac:dyDescent="0.55000000000000004">
      <c r="A614" s="1">
        <v>40060</v>
      </c>
      <c r="B614">
        <v>2009</v>
      </c>
      <c r="C614">
        <v>9</v>
      </c>
      <c r="D614" t="s">
        <v>1611</v>
      </c>
      <c r="E614" t="s">
        <v>1609</v>
      </c>
      <c r="F614">
        <v>36</v>
      </c>
      <c r="G614" t="s">
        <v>1599</v>
      </c>
    </row>
    <row r="615" spans="1:7" x14ac:dyDescent="0.55000000000000004">
      <c r="A615" s="1">
        <v>40061</v>
      </c>
      <c r="B615">
        <v>2009</v>
      </c>
      <c r="C615">
        <v>9</v>
      </c>
      <c r="D615" t="s">
        <v>1611</v>
      </c>
      <c r="E615" t="s">
        <v>1609</v>
      </c>
      <c r="F615">
        <v>36</v>
      </c>
      <c r="G615" t="s">
        <v>1600</v>
      </c>
    </row>
    <row r="616" spans="1:7" x14ac:dyDescent="0.55000000000000004">
      <c r="A616" s="1">
        <v>40062</v>
      </c>
      <c r="B616">
        <v>2009</v>
      </c>
      <c r="C616">
        <v>9</v>
      </c>
      <c r="D616" t="s">
        <v>1611</v>
      </c>
      <c r="E616" t="s">
        <v>1609</v>
      </c>
      <c r="F616">
        <v>37</v>
      </c>
      <c r="G616" t="s">
        <v>1601</v>
      </c>
    </row>
    <row r="617" spans="1:7" x14ac:dyDescent="0.55000000000000004">
      <c r="A617" s="1">
        <v>40063</v>
      </c>
      <c r="B617">
        <v>2009</v>
      </c>
      <c r="C617">
        <v>9</v>
      </c>
      <c r="D617" t="s">
        <v>1611</v>
      </c>
      <c r="E617" t="s">
        <v>1609</v>
      </c>
      <c r="F617">
        <v>37</v>
      </c>
      <c r="G617" t="s">
        <v>1602</v>
      </c>
    </row>
    <row r="618" spans="1:7" x14ac:dyDescent="0.55000000000000004">
      <c r="A618" s="1">
        <v>40064</v>
      </c>
      <c r="B618">
        <v>2009</v>
      </c>
      <c r="C618">
        <v>9</v>
      </c>
      <c r="D618" t="s">
        <v>1611</v>
      </c>
      <c r="E618" t="s">
        <v>1609</v>
      </c>
      <c r="F618">
        <v>37</v>
      </c>
      <c r="G618" t="s">
        <v>1596</v>
      </c>
    </row>
    <row r="619" spans="1:7" x14ac:dyDescent="0.55000000000000004">
      <c r="A619" s="1">
        <v>40065</v>
      </c>
      <c r="B619">
        <v>2009</v>
      </c>
      <c r="C619">
        <v>9</v>
      </c>
      <c r="D619" t="s">
        <v>1611</v>
      </c>
      <c r="E619" t="s">
        <v>1609</v>
      </c>
      <c r="F619">
        <v>37</v>
      </c>
      <c r="G619" t="s">
        <v>1597</v>
      </c>
    </row>
    <row r="620" spans="1:7" x14ac:dyDescent="0.55000000000000004">
      <c r="A620" s="1">
        <v>40066</v>
      </c>
      <c r="B620">
        <v>2009</v>
      </c>
      <c r="C620">
        <v>9</v>
      </c>
      <c r="D620" t="s">
        <v>1611</v>
      </c>
      <c r="E620" t="s">
        <v>1609</v>
      </c>
      <c r="F620">
        <v>37</v>
      </c>
      <c r="G620" t="s">
        <v>1598</v>
      </c>
    </row>
    <row r="621" spans="1:7" x14ac:dyDescent="0.55000000000000004">
      <c r="A621" s="1">
        <v>40067</v>
      </c>
      <c r="B621">
        <v>2009</v>
      </c>
      <c r="C621">
        <v>9</v>
      </c>
      <c r="D621" t="s">
        <v>1611</v>
      </c>
      <c r="E621" t="s">
        <v>1609</v>
      </c>
      <c r="F621">
        <v>37</v>
      </c>
      <c r="G621" t="s">
        <v>1599</v>
      </c>
    </row>
    <row r="622" spans="1:7" x14ac:dyDescent="0.55000000000000004">
      <c r="A622" s="1">
        <v>40068</v>
      </c>
      <c r="B622">
        <v>2009</v>
      </c>
      <c r="C622">
        <v>9</v>
      </c>
      <c r="D622" t="s">
        <v>1611</v>
      </c>
      <c r="E622" t="s">
        <v>1609</v>
      </c>
      <c r="F622">
        <v>37</v>
      </c>
      <c r="G622" t="s">
        <v>1600</v>
      </c>
    </row>
    <row r="623" spans="1:7" x14ac:dyDescent="0.55000000000000004">
      <c r="A623" s="1">
        <v>40069</v>
      </c>
      <c r="B623">
        <v>2009</v>
      </c>
      <c r="C623">
        <v>9</v>
      </c>
      <c r="D623" t="s">
        <v>1611</v>
      </c>
      <c r="E623" t="s">
        <v>1609</v>
      </c>
      <c r="F623">
        <v>38</v>
      </c>
      <c r="G623" t="s">
        <v>1601</v>
      </c>
    </row>
    <row r="624" spans="1:7" x14ac:dyDescent="0.55000000000000004">
      <c r="A624" s="1">
        <v>40070</v>
      </c>
      <c r="B624">
        <v>2009</v>
      </c>
      <c r="C624">
        <v>9</v>
      </c>
      <c r="D624" t="s">
        <v>1611</v>
      </c>
      <c r="E624" t="s">
        <v>1609</v>
      </c>
      <c r="F624">
        <v>38</v>
      </c>
      <c r="G624" t="s">
        <v>1602</v>
      </c>
    </row>
    <row r="625" spans="1:7" x14ac:dyDescent="0.55000000000000004">
      <c r="A625" s="1">
        <v>40071</v>
      </c>
      <c r="B625">
        <v>2009</v>
      </c>
      <c r="C625">
        <v>9</v>
      </c>
      <c r="D625" t="s">
        <v>1611</v>
      </c>
      <c r="E625" t="s">
        <v>1609</v>
      </c>
      <c r="F625">
        <v>38</v>
      </c>
      <c r="G625" t="s">
        <v>1596</v>
      </c>
    </row>
    <row r="626" spans="1:7" x14ac:dyDescent="0.55000000000000004">
      <c r="A626" s="1">
        <v>40072</v>
      </c>
      <c r="B626">
        <v>2009</v>
      </c>
      <c r="C626">
        <v>9</v>
      </c>
      <c r="D626" t="s">
        <v>1611</v>
      </c>
      <c r="E626" t="s">
        <v>1609</v>
      </c>
      <c r="F626">
        <v>38</v>
      </c>
      <c r="G626" t="s">
        <v>1597</v>
      </c>
    </row>
    <row r="627" spans="1:7" x14ac:dyDescent="0.55000000000000004">
      <c r="A627" s="1">
        <v>40073</v>
      </c>
      <c r="B627">
        <v>2009</v>
      </c>
      <c r="C627">
        <v>9</v>
      </c>
      <c r="D627" t="s">
        <v>1611</v>
      </c>
      <c r="E627" t="s">
        <v>1609</v>
      </c>
      <c r="F627">
        <v>38</v>
      </c>
      <c r="G627" t="s">
        <v>1598</v>
      </c>
    </row>
    <row r="628" spans="1:7" x14ac:dyDescent="0.55000000000000004">
      <c r="A628" s="1">
        <v>40074</v>
      </c>
      <c r="B628">
        <v>2009</v>
      </c>
      <c r="C628">
        <v>9</v>
      </c>
      <c r="D628" t="s">
        <v>1611</v>
      </c>
      <c r="E628" t="s">
        <v>1609</v>
      </c>
      <c r="F628">
        <v>38</v>
      </c>
      <c r="G628" t="s">
        <v>1599</v>
      </c>
    </row>
    <row r="629" spans="1:7" x14ac:dyDescent="0.55000000000000004">
      <c r="A629" s="1">
        <v>40075</v>
      </c>
      <c r="B629">
        <v>2009</v>
      </c>
      <c r="C629">
        <v>9</v>
      </c>
      <c r="D629" t="s">
        <v>1611</v>
      </c>
      <c r="E629" t="s">
        <v>1609</v>
      </c>
      <c r="F629">
        <v>38</v>
      </c>
      <c r="G629" t="s">
        <v>1600</v>
      </c>
    </row>
    <row r="630" spans="1:7" x14ac:dyDescent="0.55000000000000004">
      <c r="A630" s="1">
        <v>40076</v>
      </c>
      <c r="B630">
        <v>2009</v>
      </c>
      <c r="C630">
        <v>9</v>
      </c>
      <c r="D630" t="s">
        <v>1611</v>
      </c>
      <c r="E630" t="s">
        <v>1609</v>
      </c>
      <c r="F630">
        <v>39</v>
      </c>
      <c r="G630" t="s">
        <v>1601</v>
      </c>
    </row>
    <row r="631" spans="1:7" x14ac:dyDescent="0.55000000000000004">
      <c r="A631" s="1">
        <v>40077</v>
      </c>
      <c r="B631">
        <v>2009</v>
      </c>
      <c r="C631">
        <v>9</v>
      </c>
      <c r="D631" t="s">
        <v>1611</v>
      </c>
      <c r="E631" t="s">
        <v>1609</v>
      </c>
      <c r="F631">
        <v>39</v>
      </c>
      <c r="G631" t="s">
        <v>1602</v>
      </c>
    </row>
    <row r="632" spans="1:7" x14ac:dyDescent="0.55000000000000004">
      <c r="A632" s="1">
        <v>40078</v>
      </c>
      <c r="B632">
        <v>2009</v>
      </c>
      <c r="C632">
        <v>9</v>
      </c>
      <c r="D632" t="s">
        <v>1611</v>
      </c>
      <c r="E632" t="s">
        <v>1609</v>
      </c>
      <c r="F632">
        <v>39</v>
      </c>
      <c r="G632" t="s">
        <v>1596</v>
      </c>
    </row>
    <row r="633" spans="1:7" x14ac:dyDescent="0.55000000000000004">
      <c r="A633" s="1">
        <v>40079</v>
      </c>
      <c r="B633">
        <v>2009</v>
      </c>
      <c r="C633">
        <v>9</v>
      </c>
      <c r="D633" t="s">
        <v>1611</v>
      </c>
      <c r="E633" t="s">
        <v>1609</v>
      </c>
      <c r="F633">
        <v>39</v>
      </c>
      <c r="G633" t="s">
        <v>1597</v>
      </c>
    </row>
    <row r="634" spans="1:7" x14ac:dyDescent="0.55000000000000004">
      <c r="A634" s="1">
        <v>40080</v>
      </c>
      <c r="B634">
        <v>2009</v>
      </c>
      <c r="C634">
        <v>9</v>
      </c>
      <c r="D634" t="s">
        <v>1611</v>
      </c>
      <c r="E634" t="s">
        <v>1609</v>
      </c>
      <c r="F634">
        <v>39</v>
      </c>
      <c r="G634" t="s">
        <v>1598</v>
      </c>
    </row>
    <row r="635" spans="1:7" x14ac:dyDescent="0.55000000000000004">
      <c r="A635" s="1">
        <v>40081</v>
      </c>
      <c r="B635">
        <v>2009</v>
      </c>
      <c r="C635">
        <v>9</v>
      </c>
      <c r="D635" t="s">
        <v>1611</v>
      </c>
      <c r="E635" t="s">
        <v>1609</v>
      </c>
      <c r="F635">
        <v>39</v>
      </c>
      <c r="G635" t="s">
        <v>1599</v>
      </c>
    </row>
    <row r="636" spans="1:7" x14ac:dyDescent="0.55000000000000004">
      <c r="A636" s="1">
        <v>40082</v>
      </c>
      <c r="B636">
        <v>2009</v>
      </c>
      <c r="C636">
        <v>9</v>
      </c>
      <c r="D636" t="s">
        <v>1611</v>
      </c>
      <c r="E636" t="s">
        <v>1609</v>
      </c>
      <c r="F636">
        <v>39</v>
      </c>
      <c r="G636" t="s">
        <v>1600</v>
      </c>
    </row>
    <row r="637" spans="1:7" x14ac:dyDescent="0.55000000000000004">
      <c r="A637" s="1">
        <v>40083</v>
      </c>
      <c r="B637">
        <v>2009</v>
      </c>
      <c r="C637">
        <v>9</v>
      </c>
      <c r="D637" t="s">
        <v>1611</v>
      </c>
      <c r="E637" t="s">
        <v>1609</v>
      </c>
      <c r="F637">
        <v>40</v>
      </c>
      <c r="G637" t="s">
        <v>1601</v>
      </c>
    </row>
    <row r="638" spans="1:7" x14ac:dyDescent="0.55000000000000004">
      <c r="A638" s="1">
        <v>40084</v>
      </c>
      <c r="B638">
        <v>2009</v>
      </c>
      <c r="C638">
        <v>9</v>
      </c>
      <c r="D638" t="s">
        <v>1611</v>
      </c>
      <c r="E638" t="s">
        <v>1609</v>
      </c>
      <c r="F638">
        <v>40</v>
      </c>
      <c r="G638" t="s">
        <v>1602</v>
      </c>
    </row>
    <row r="639" spans="1:7" x14ac:dyDescent="0.55000000000000004">
      <c r="A639" s="1">
        <v>40085</v>
      </c>
      <c r="B639">
        <v>2009</v>
      </c>
      <c r="C639">
        <v>9</v>
      </c>
      <c r="D639" t="s">
        <v>1611</v>
      </c>
      <c r="E639" t="s">
        <v>1609</v>
      </c>
      <c r="F639">
        <v>40</v>
      </c>
      <c r="G639" t="s">
        <v>1596</v>
      </c>
    </row>
    <row r="640" spans="1:7" x14ac:dyDescent="0.55000000000000004">
      <c r="A640" s="1">
        <v>40086</v>
      </c>
      <c r="B640">
        <v>2009</v>
      </c>
      <c r="C640">
        <v>9</v>
      </c>
      <c r="D640" t="s">
        <v>1611</v>
      </c>
      <c r="E640" t="s">
        <v>1609</v>
      </c>
      <c r="F640">
        <v>40</v>
      </c>
      <c r="G640" t="s">
        <v>1597</v>
      </c>
    </row>
    <row r="641" spans="1:7" x14ac:dyDescent="0.55000000000000004">
      <c r="A641" s="1">
        <v>40087</v>
      </c>
      <c r="B641">
        <v>2009</v>
      </c>
      <c r="C641">
        <v>10</v>
      </c>
      <c r="D641" t="s">
        <v>1612</v>
      </c>
      <c r="E641" t="s">
        <v>1613</v>
      </c>
      <c r="F641">
        <v>40</v>
      </c>
      <c r="G641" t="s">
        <v>1598</v>
      </c>
    </row>
    <row r="642" spans="1:7" x14ac:dyDescent="0.55000000000000004">
      <c r="A642" s="1">
        <v>40088</v>
      </c>
      <c r="B642">
        <v>2009</v>
      </c>
      <c r="C642">
        <v>10</v>
      </c>
      <c r="D642" t="s">
        <v>1612</v>
      </c>
      <c r="E642" t="s">
        <v>1613</v>
      </c>
      <c r="F642">
        <v>40</v>
      </c>
      <c r="G642" t="s">
        <v>1599</v>
      </c>
    </row>
    <row r="643" spans="1:7" x14ac:dyDescent="0.55000000000000004">
      <c r="A643" s="1">
        <v>40089</v>
      </c>
      <c r="B643">
        <v>2009</v>
      </c>
      <c r="C643">
        <v>10</v>
      </c>
      <c r="D643" t="s">
        <v>1612</v>
      </c>
      <c r="E643" t="s">
        <v>1613</v>
      </c>
      <c r="F643">
        <v>40</v>
      </c>
      <c r="G643" t="s">
        <v>1600</v>
      </c>
    </row>
    <row r="644" spans="1:7" x14ac:dyDescent="0.55000000000000004">
      <c r="A644" s="1">
        <v>40090</v>
      </c>
      <c r="B644">
        <v>2009</v>
      </c>
      <c r="C644">
        <v>10</v>
      </c>
      <c r="D644" t="s">
        <v>1612</v>
      </c>
      <c r="E644" t="s">
        <v>1613</v>
      </c>
      <c r="F644">
        <v>41</v>
      </c>
      <c r="G644" t="s">
        <v>1601</v>
      </c>
    </row>
    <row r="645" spans="1:7" x14ac:dyDescent="0.55000000000000004">
      <c r="A645" s="1">
        <v>40091</v>
      </c>
      <c r="B645">
        <v>2009</v>
      </c>
      <c r="C645">
        <v>10</v>
      </c>
      <c r="D645" t="s">
        <v>1612</v>
      </c>
      <c r="E645" t="s">
        <v>1613</v>
      </c>
      <c r="F645">
        <v>41</v>
      </c>
      <c r="G645" t="s">
        <v>1602</v>
      </c>
    </row>
    <row r="646" spans="1:7" x14ac:dyDescent="0.55000000000000004">
      <c r="A646" s="1">
        <v>40092</v>
      </c>
      <c r="B646">
        <v>2009</v>
      </c>
      <c r="C646">
        <v>10</v>
      </c>
      <c r="D646" t="s">
        <v>1612</v>
      </c>
      <c r="E646" t="s">
        <v>1613</v>
      </c>
      <c r="F646">
        <v>41</v>
      </c>
      <c r="G646" t="s">
        <v>1596</v>
      </c>
    </row>
    <row r="647" spans="1:7" x14ac:dyDescent="0.55000000000000004">
      <c r="A647" s="1">
        <v>40093</v>
      </c>
      <c r="B647">
        <v>2009</v>
      </c>
      <c r="C647">
        <v>10</v>
      </c>
      <c r="D647" t="s">
        <v>1612</v>
      </c>
      <c r="E647" t="s">
        <v>1613</v>
      </c>
      <c r="F647">
        <v>41</v>
      </c>
      <c r="G647" t="s">
        <v>1597</v>
      </c>
    </row>
    <row r="648" spans="1:7" x14ac:dyDescent="0.55000000000000004">
      <c r="A648" s="1">
        <v>40094</v>
      </c>
      <c r="B648">
        <v>2009</v>
      </c>
      <c r="C648">
        <v>10</v>
      </c>
      <c r="D648" t="s">
        <v>1612</v>
      </c>
      <c r="E648" t="s">
        <v>1613</v>
      </c>
      <c r="F648">
        <v>41</v>
      </c>
      <c r="G648" t="s">
        <v>1598</v>
      </c>
    </row>
    <row r="649" spans="1:7" x14ac:dyDescent="0.55000000000000004">
      <c r="A649" s="1">
        <v>40095</v>
      </c>
      <c r="B649">
        <v>2009</v>
      </c>
      <c r="C649">
        <v>10</v>
      </c>
      <c r="D649" t="s">
        <v>1612</v>
      </c>
      <c r="E649" t="s">
        <v>1613</v>
      </c>
      <c r="F649">
        <v>41</v>
      </c>
      <c r="G649" t="s">
        <v>1599</v>
      </c>
    </row>
    <row r="650" spans="1:7" x14ac:dyDescent="0.55000000000000004">
      <c r="A650" s="1">
        <v>40096</v>
      </c>
      <c r="B650">
        <v>2009</v>
      </c>
      <c r="C650">
        <v>10</v>
      </c>
      <c r="D650" t="s">
        <v>1612</v>
      </c>
      <c r="E650" t="s">
        <v>1613</v>
      </c>
      <c r="F650">
        <v>41</v>
      </c>
      <c r="G650" t="s">
        <v>1600</v>
      </c>
    </row>
    <row r="651" spans="1:7" x14ac:dyDescent="0.55000000000000004">
      <c r="A651" s="1">
        <v>40097</v>
      </c>
      <c r="B651">
        <v>2009</v>
      </c>
      <c r="C651">
        <v>10</v>
      </c>
      <c r="D651" t="s">
        <v>1612</v>
      </c>
      <c r="E651" t="s">
        <v>1613</v>
      </c>
      <c r="F651">
        <v>42</v>
      </c>
      <c r="G651" t="s">
        <v>1601</v>
      </c>
    </row>
    <row r="652" spans="1:7" x14ac:dyDescent="0.55000000000000004">
      <c r="A652" s="1">
        <v>40098</v>
      </c>
      <c r="B652">
        <v>2009</v>
      </c>
      <c r="C652">
        <v>10</v>
      </c>
      <c r="D652" t="s">
        <v>1612</v>
      </c>
      <c r="E652" t="s">
        <v>1613</v>
      </c>
      <c r="F652">
        <v>42</v>
      </c>
      <c r="G652" t="s">
        <v>1602</v>
      </c>
    </row>
    <row r="653" spans="1:7" x14ac:dyDescent="0.55000000000000004">
      <c r="A653" s="1">
        <v>40099</v>
      </c>
      <c r="B653">
        <v>2009</v>
      </c>
      <c r="C653">
        <v>10</v>
      </c>
      <c r="D653" t="s">
        <v>1612</v>
      </c>
      <c r="E653" t="s">
        <v>1613</v>
      </c>
      <c r="F653">
        <v>42</v>
      </c>
      <c r="G653" t="s">
        <v>1596</v>
      </c>
    </row>
    <row r="654" spans="1:7" x14ac:dyDescent="0.55000000000000004">
      <c r="A654" s="1">
        <v>40100</v>
      </c>
      <c r="B654">
        <v>2009</v>
      </c>
      <c r="C654">
        <v>10</v>
      </c>
      <c r="D654" t="s">
        <v>1612</v>
      </c>
      <c r="E654" t="s">
        <v>1613</v>
      </c>
      <c r="F654">
        <v>42</v>
      </c>
      <c r="G654" t="s">
        <v>1597</v>
      </c>
    </row>
    <row r="655" spans="1:7" x14ac:dyDescent="0.55000000000000004">
      <c r="A655" s="1">
        <v>40101</v>
      </c>
      <c r="B655">
        <v>2009</v>
      </c>
      <c r="C655">
        <v>10</v>
      </c>
      <c r="D655" t="s">
        <v>1612</v>
      </c>
      <c r="E655" t="s">
        <v>1613</v>
      </c>
      <c r="F655">
        <v>42</v>
      </c>
      <c r="G655" t="s">
        <v>1598</v>
      </c>
    </row>
    <row r="656" spans="1:7" x14ac:dyDescent="0.55000000000000004">
      <c r="A656" s="1">
        <v>40102</v>
      </c>
      <c r="B656">
        <v>2009</v>
      </c>
      <c r="C656">
        <v>10</v>
      </c>
      <c r="D656" t="s">
        <v>1612</v>
      </c>
      <c r="E656" t="s">
        <v>1613</v>
      </c>
      <c r="F656">
        <v>42</v>
      </c>
      <c r="G656" t="s">
        <v>1599</v>
      </c>
    </row>
    <row r="657" spans="1:7" x14ac:dyDescent="0.55000000000000004">
      <c r="A657" s="1">
        <v>40103</v>
      </c>
      <c r="B657">
        <v>2009</v>
      </c>
      <c r="C657">
        <v>10</v>
      </c>
      <c r="D657" t="s">
        <v>1612</v>
      </c>
      <c r="E657" t="s">
        <v>1613</v>
      </c>
      <c r="F657">
        <v>42</v>
      </c>
      <c r="G657" t="s">
        <v>1600</v>
      </c>
    </row>
    <row r="658" spans="1:7" x14ac:dyDescent="0.55000000000000004">
      <c r="A658" s="1">
        <v>40104</v>
      </c>
      <c r="B658">
        <v>2009</v>
      </c>
      <c r="C658">
        <v>10</v>
      </c>
      <c r="D658" t="s">
        <v>1612</v>
      </c>
      <c r="E658" t="s">
        <v>1613</v>
      </c>
      <c r="F658">
        <v>43</v>
      </c>
      <c r="G658" t="s">
        <v>1601</v>
      </c>
    </row>
    <row r="659" spans="1:7" x14ac:dyDescent="0.55000000000000004">
      <c r="A659" s="1">
        <v>40105</v>
      </c>
      <c r="B659">
        <v>2009</v>
      </c>
      <c r="C659">
        <v>10</v>
      </c>
      <c r="D659" t="s">
        <v>1612</v>
      </c>
      <c r="E659" t="s">
        <v>1613</v>
      </c>
      <c r="F659">
        <v>43</v>
      </c>
      <c r="G659" t="s">
        <v>1602</v>
      </c>
    </row>
    <row r="660" spans="1:7" x14ac:dyDescent="0.55000000000000004">
      <c r="A660" s="1">
        <v>40106</v>
      </c>
      <c r="B660">
        <v>2009</v>
      </c>
      <c r="C660">
        <v>10</v>
      </c>
      <c r="D660" t="s">
        <v>1612</v>
      </c>
      <c r="E660" t="s">
        <v>1613</v>
      </c>
      <c r="F660">
        <v>43</v>
      </c>
      <c r="G660" t="s">
        <v>1596</v>
      </c>
    </row>
    <row r="661" spans="1:7" x14ac:dyDescent="0.55000000000000004">
      <c r="A661" s="1">
        <v>40107</v>
      </c>
      <c r="B661">
        <v>2009</v>
      </c>
      <c r="C661">
        <v>10</v>
      </c>
      <c r="D661" t="s">
        <v>1612</v>
      </c>
      <c r="E661" t="s">
        <v>1613</v>
      </c>
      <c r="F661">
        <v>43</v>
      </c>
      <c r="G661" t="s">
        <v>1597</v>
      </c>
    </row>
    <row r="662" spans="1:7" x14ac:dyDescent="0.55000000000000004">
      <c r="A662" s="1">
        <v>40108</v>
      </c>
      <c r="B662">
        <v>2009</v>
      </c>
      <c r="C662">
        <v>10</v>
      </c>
      <c r="D662" t="s">
        <v>1612</v>
      </c>
      <c r="E662" t="s">
        <v>1613</v>
      </c>
      <c r="F662">
        <v>43</v>
      </c>
      <c r="G662" t="s">
        <v>1598</v>
      </c>
    </row>
    <row r="663" spans="1:7" x14ac:dyDescent="0.55000000000000004">
      <c r="A663" s="1">
        <v>40109</v>
      </c>
      <c r="B663">
        <v>2009</v>
      </c>
      <c r="C663">
        <v>10</v>
      </c>
      <c r="D663" t="s">
        <v>1612</v>
      </c>
      <c r="E663" t="s">
        <v>1613</v>
      </c>
      <c r="F663">
        <v>43</v>
      </c>
      <c r="G663" t="s">
        <v>1599</v>
      </c>
    </row>
    <row r="664" spans="1:7" x14ac:dyDescent="0.55000000000000004">
      <c r="A664" s="1">
        <v>40110</v>
      </c>
      <c r="B664">
        <v>2009</v>
      </c>
      <c r="C664">
        <v>10</v>
      </c>
      <c r="D664" t="s">
        <v>1612</v>
      </c>
      <c r="E664" t="s">
        <v>1613</v>
      </c>
      <c r="F664">
        <v>43</v>
      </c>
      <c r="G664" t="s">
        <v>1600</v>
      </c>
    </row>
    <row r="665" spans="1:7" x14ac:dyDescent="0.55000000000000004">
      <c r="A665" s="1">
        <v>40111</v>
      </c>
      <c r="B665">
        <v>2009</v>
      </c>
      <c r="C665">
        <v>10</v>
      </c>
      <c r="D665" t="s">
        <v>1612</v>
      </c>
      <c r="E665" t="s">
        <v>1613</v>
      </c>
      <c r="F665">
        <v>44</v>
      </c>
      <c r="G665" t="s">
        <v>1601</v>
      </c>
    </row>
    <row r="666" spans="1:7" x14ac:dyDescent="0.55000000000000004">
      <c r="A666" s="1">
        <v>40112</v>
      </c>
      <c r="B666">
        <v>2009</v>
      </c>
      <c r="C666">
        <v>10</v>
      </c>
      <c r="D666" t="s">
        <v>1612</v>
      </c>
      <c r="E666" t="s">
        <v>1613</v>
      </c>
      <c r="F666">
        <v>44</v>
      </c>
      <c r="G666" t="s">
        <v>1602</v>
      </c>
    </row>
    <row r="667" spans="1:7" x14ac:dyDescent="0.55000000000000004">
      <c r="A667" s="1">
        <v>40113</v>
      </c>
      <c r="B667">
        <v>2009</v>
      </c>
      <c r="C667">
        <v>10</v>
      </c>
      <c r="D667" t="s">
        <v>1612</v>
      </c>
      <c r="E667" t="s">
        <v>1613</v>
      </c>
      <c r="F667">
        <v>44</v>
      </c>
      <c r="G667" t="s">
        <v>1596</v>
      </c>
    </row>
    <row r="668" spans="1:7" x14ac:dyDescent="0.55000000000000004">
      <c r="A668" s="1">
        <v>40114</v>
      </c>
      <c r="B668">
        <v>2009</v>
      </c>
      <c r="C668">
        <v>10</v>
      </c>
      <c r="D668" t="s">
        <v>1612</v>
      </c>
      <c r="E668" t="s">
        <v>1613</v>
      </c>
      <c r="F668">
        <v>44</v>
      </c>
      <c r="G668" t="s">
        <v>1597</v>
      </c>
    </row>
    <row r="669" spans="1:7" x14ac:dyDescent="0.55000000000000004">
      <c r="A669" s="1">
        <v>40115</v>
      </c>
      <c r="B669">
        <v>2009</v>
      </c>
      <c r="C669">
        <v>10</v>
      </c>
      <c r="D669" t="s">
        <v>1612</v>
      </c>
      <c r="E669" t="s">
        <v>1613</v>
      </c>
      <c r="F669">
        <v>44</v>
      </c>
      <c r="G669" t="s">
        <v>1598</v>
      </c>
    </row>
    <row r="670" spans="1:7" x14ac:dyDescent="0.55000000000000004">
      <c r="A670" s="1">
        <v>40116</v>
      </c>
      <c r="B670">
        <v>2009</v>
      </c>
      <c r="C670">
        <v>10</v>
      </c>
      <c r="D670" t="s">
        <v>1612</v>
      </c>
      <c r="E670" t="s">
        <v>1613</v>
      </c>
      <c r="F670">
        <v>44</v>
      </c>
      <c r="G670" t="s">
        <v>1599</v>
      </c>
    </row>
    <row r="671" spans="1:7" x14ac:dyDescent="0.55000000000000004">
      <c r="A671" s="1">
        <v>40117</v>
      </c>
      <c r="B671">
        <v>2009</v>
      </c>
      <c r="C671">
        <v>10</v>
      </c>
      <c r="D671" t="s">
        <v>1612</v>
      </c>
      <c r="E671" t="s">
        <v>1613</v>
      </c>
      <c r="F671">
        <v>44</v>
      </c>
      <c r="G671" t="s">
        <v>1600</v>
      </c>
    </row>
    <row r="672" spans="1:7" x14ac:dyDescent="0.55000000000000004">
      <c r="A672" s="1">
        <v>40118</v>
      </c>
      <c r="B672">
        <v>2009</v>
      </c>
      <c r="C672">
        <v>11</v>
      </c>
      <c r="D672" t="s">
        <v>1614</v>
      </c>
      <c r="E672" t="s">
        <v>1613</v>
      </c>
      <c r="F672">
        <v>45</v>
      </c>
      <c r="G672" t="s">
        <v>1601</v>
      </c>
    </row>
    <row r="673" spans="1:7" x14ac:dyDescent="0.55000000000000004">
      <c r="A673" s="1">
        <v>40119</v>
      </c>
      <c r="B673">
        <v>2009</v>
      </c>
      <c r="C673">
        <v>11</v>
      </c>
      <c r="D673" t="s">
        <v>1614</v>
      </c>
      <c r="E673" t="s">
        <v>1613</v>
      </c>
      <c r="F673">
        <v>45</v>
      </c>
      <c r="G673" t="s">
        <v>1602</v>
      </c>
    </row>
    <row r="674" spans="1:7" x14ac:dyDescent="0.55000000000000004">
      <c r="A674" s="1">
        <v>40120</v>
      </c>
      <c r="B674">
        <v>2009</v>
      </c>
      <c r="C674">
        <v>11</v>
      </c>
      <c r="D674" t="s">
        <v>1614</v>
      </c>
      <c r="E674" t="s">
        <v>1613</v>
      </c>
      <c r="F674">
        <v>45</v>
      </c>
      <c r="G674" t="s">
        <v>1596</v>
      </c>
    </row>
    <row r="675" spans="1:7" x14ac:dyDescent="0.55000000000000004">
      <c r="A675" s="1">
        <v>40121</v>
      </c>
      <c r="B675">
        <v>2009</v>
      </c>
      <c r="C675">
        <v>11</v>
      </c>
      <c r="D675" t="s">
        <v>1614</v>
      </c>
      <c r="E675" t="s">
        <v>1613</v>
      </c>
      <c r="F675">
        <v>45</v>
      </c>
      <c r="G675" t="s">
        <v>1597</v>
      </c>
    </row>
    <row r="676" spans="1:7" x14ac:dyDescent="0.55000000000000004">
      <c r="A676" s="1">
        <v>40122</v>
      </c>
      <c r="B676">
        <v>2009</v>
      </c>
      <c r="C676">
        <v>11</v>
      </c>
      <c r="D676" t="s">
        <v>1614</v>
      </c>
      <c r="E676" t="s">
        <v>1613</v>
      </c>
      <c r="F676">
        <v>45</v>
      </c>
      <c r="G676" t="s">
        <v>1598</v>
      </c>
    </row>
    <row r="677" spans="1:7" x14ac:dyDescent="0.55000000000000004">
      <c r="A677" s="1">
        <v>40123</v>
      </c>
      <c r="B677">
        <v>2009</v>
      </c>
      <c r="C677">
        <v>11</v>
      </c>
      <c r="D677" t="s">
        <v>1614</v>
      </c>
      <c r="E677" t="s">
        <v>1613</v>
      </c>
      <c r="F677">
        <v>45</v>
      </c>
      <c r="G677" t="s">
        <v>1599</v>
      </c>
    </row>
    <row r="678" spans="1:7" x14ac:dyDescent="0.55000000000000004">
      <c r="A678" s="1">
        <v>40124</v>
      </c>
      <c r="B678">
        <v>2009</v>
      </c>
      <c r="C678">
        <v>11</v>
      </c>
      <c r="D678" t="s">
        <v>1614</v>
      </c>
      <c r="E678" t="s">
        <v>1613</v>
      </c>
      <c r="F678">
        <v>45</v>
      </c>
      <c r="G678" t="s">
        <v>1600</v>
      </c>
    </row>
    <row r="679" spans="1:7" x14ac:dyDescent="0.55000000000000004">
      <c r="A679" s="1">
        <v>40125</v>
      </c>
      <c r="B679">
        <v>2009</v>
      </c>
      <c r="C679">
        <v>11</v>
      </c>
      <c r="D679" t="s">
        <v>1614</v>
      </c>
      <c r="E679" t="s">
        <v>1613</v>
      </c>
      <c r="F679">
        <v>46</v>
      </c>
      <c r="G679" t="s">
        <v>1601</v>
      </c>
    </row>
    <row r="680" spans="1:7" x14ac:dyDescent="0.55000000000000004">
      <c r="A680" s="1">
        <v>40126</v>
      </c>
      <c r="B680">
        <v>2009</v>
      </c>
      <c r="C680">
        <v>11</v>
      </c>
      <c r="D680" t="s">
        <v>1614</v>
      </c>
      <c r="E680" t="s">
        <v>1613</v>
      </c>
      <c r="F680">
        <v>46</v>
      </c>
      <c r="G680" t="s">
        <v>1602</v>
      </c>
    </row>
    <row r="681" spans="1:7" x14ac:dyDescent="0.55000000000000004">
      <c r="A681" s="1">
        <v>40127</v>
      </c>
      <c r="B681">
        <v>2009</v>
      </c>
      <c r="C681">
        <v>11</v>
      </c>
      <c r="D681" t="s">
        <v>1614</v>
      </c>
      <c r="E681" t="s">
        <v>1613</v>
      </c>
      <c r="F681">
        <v>46</v>
      </c>
      <c r="G681" t="s">
        <v>1596</v>
      </c>
    </row>
    <row r="682" spans="1:7" x14ac:dyDescent="0.55000000000000004">
      <c r="A682" s="1">
        <v>40128</v>
      </c>
      <c r="B682">
        <v>2009</v>
      </c>
      <c r="C682">
        <v>11</v>
      </c>
      <c r="D682" t="s">
        <v>1614</v>
      </c>
      <c r="E682" t="s">
        <v>1613</v>
      </c>
      <c r="F682">
        <v>46</v>
      </c>
      <c r="G682" t="s">
        <v>1597</v>
      </c>
    </row>
    <row r="683" spans="1:7" x14ac:dyDescent="0.55000000000000004">
      <c r="A683" s="1">
        <v>40129</v>
      </c>
      <c r="B683">
        <v>2009</v>
      </c>
      <c r="C683">
        <v>11</v>
      </c>
      <c r="D683" t="s">
        <v>1614</v>
      </c>
      <c r="E683" t="s">
        <v>1613</v>
      </c>
      <c r="F683">
        <v>46</v>
      </c>
      <c r="G683" t="s">
        <v>1598</v>
      </c>
    </row>
    <row r="684" spans="1:7" x14ac:dyDescent="0.55000000000000004">
      <c r="A684" s="1">
        <v>40130</v>
      </c>
      <c r="B684">
        <v>2009</v>
      </c>
      <c r="C684">
        <v>11</v>
      </c>
      <c r="D684" t="s">
        <v>1614</v>
      </c>
      <c r="E684" t="s">
        <v>1613</v>
      </c>
      <c r="F684">
        <v>46</v>
      </c>
      <c r="G684" t="s">
        <v>1599</v>
      </c>
    </row>
    <row r="685" spans="1:7" x14ac:dyDescent="0.55000000000000004">
      <c r="A685" s="1">
        <v>40131</v>
      </c>
      <c r="B685">
        <v>2009</v>
      </c>
      <c r="C685">
        <v>11</v>
      </c>
      <c r="D685" t="s">
        <v>1614</v>
      </c>
      <c r="E685" t="s">
        <v>1613</v>
      </c>
      <c r="F685">
        <v>46</v>
      </c>
      <c r="G685" t="s">
        <v>1600</v>
      </c>
    </row>
    <row r="686" spans="1:7" x14ac:dyDescent="0.55000000000000004">
      <c r="A686" s="1">
        <v>40132</v>
      </c>
      <c r="B686">
        <v>2009</v>
      </c>
      <c r="C686">
        <v>11</v>
      </c>
      <c r="D686" t="s">
        <v>1614</v>
      </c>
      <c r="E686" t="s">
        <v>1613</v>
      </c>
      <c r="F686">
        <v>47</v>
      </c>
      <c r="G686" t="s">
        <v>1601</v>
      </c>
    </row>
    <row r="687" spans="1:7" x14ac:dyDescent="0.55000000000000004">
      <c r="A687" s="1">
        <v>40133</v>
      </c>
      <c r="B687">
        <v>2009</v>
      </c>
      <c r="C687">
        <v>11</v>
      </c>
      <c r="D687" t="s">
        <v>1614</v>
      </c>
      <c r="E687" t="s">
        <v>1613</v>
      </c>
      <c r="F687">
        <v>47</v>
      </c>
      <c r="G687" t="s">
        <v>1602</v>
      </c>
    </row>
    <row r="688" spans="1:7" x14ac:dyDescent="0.55000000000000004">
      <c r="A688" s="1">
        <v>40134</v>
      </c>
      <c r="B688">
        <v>2009</v>
      </c>
      <c r="C688">
        <v>11</v>
      </c>
      <c r="D688" t="s">
        <v>1614</v>
      </c>
      <c r="E688" t="s">
        <v>1613</v>
      </c>
      <c r="F688">
        <v>47</v>
      </c>
      <c r="G688" t="s">
        <v>1596</v>
      </c>
    </row>
    <row r="689" spans="1:7" x14ac:dyDescent="0.55000000000000004">
      <c r="A689" s="1">
        <v>40135</v>
      </c>
      <c r="B689">
        <v>2009</v>
      </c>
      <c r="C689">
        <v>11</v>
      </c>
      <c r="D689" t="s">
        <v>1614</v>
      </c>
      <c r="E689" t="s">
        <v>1613</v>
      </c>
      <c r="F689">
        <v>47</v>
      </c>
      <c r="G689" t="s">
        <v>1597</v>
      </c>
    </row>
    <row r="690" spans="1:7" x14ac:dyDescent="0.55000000000000004">
      <c r="A690" s="1">
        <v>40136</v>
      </c>
      <c r="B690">
        <v>2009</v>
      </c>
      <c r="C690">
        <v>11</v>
      </c>
      <c r="D690" t="s">
        <v>1614</v>
      </c>
      <c r="E690" t="s">
        <v>1613</v>
      </c>
      <c r="F690">
        <v>47</v>
      </c>
      <c r="G690" t="s">
        <v>1598</v>
      </c>
    </row>
    <row r="691" spans="1:7" x14ac:dyDescent="0.55000000000000004">
      <c r="A691" s="1">
        <v>40137</v>
      </c>
      <c r="B691">
        <v>2009</v>
      </c>
      <c r="C691">
        <v>11</v>
      </c>
      <c r="D691" t="s">
        <v>1614</v>
      </c>
      <c r="E691" t="s">
        <v>1613</v>
      </c>
      <c r="F691">
        <v>47</v>
      </c>
      <c r="G691" t="s">
        <v>1599</v>
      </c>
    </row>
    <row r="692" spans="1:7" x14ac:dyDescent="0.55000000000000004">
      <c r="A692" s="1">
        <v>40138</v>
      </c>
      <c r="B692">
        <v>2009</v>
      </c>
      <c r="C692">
        <v>11</v>
      </c>
      <c r="D692" t="s">
        <v>1614</v>
      </c>
      <c r="E692" t="s">
        <v>1613</v>
      </c>
      <c r="F692">
        <v>47</v>
      </c>
      <c r="G692" t="s">
        <v>1600</v>
      </c>
    </row>
    <row r="693" spans="1:7" x14ac:dyDescent="0.55000000000000004">
      <c r="A693" s="1">
        <v>40139</v>
      </c>
      <c r="B693">
        <v>2009</v>
      </c>
      <c r="C693">
        <v>11</v>
      </c>
      <c r="D693" t="s">
        <v>1614</v>
      </c>
      <c r="E693" t="s">
        <v>1613</v>
      </c>
      <c r="F693">
        <v>48</v>
      </c>
      <c r="G693" t="s">
        <v>1601</v>
      </c>
    </row>
    <row r="694" spans="1:7" x14ac:dyDescent="0.55000000000000004">
      <c r="A694" s="1">
        <v>40140</v>
      </c>
      <c r="B694">
        <v>2009</v>
      </c>
      <c r="C694">
        <v>11</v>
      </c>
      <c r="D694" t="s">
        <v>1614</v>
      </c>
      <c r="E694" t="s">
        <v>1613</v>
      </c>
      <c r="F694">
        <v>48</v>
      </c>
      <c r="G694" t="s">
        <v>1602</v>
      </c>
    </row>
    <row r="695" spans="1:7" x14ac:dyDescent="0.55000000000000004">
      <c r="A695" s="1">
        <v>40141</v>
      </c>
      <c r="B695">
        <v>2009</v>
      </c>
      <c r="C695">
        <v>11</v>
      </c>
      <c r="D695" t="s">
        <v>1614</v>
      </c>
      <c r="E695" t="s">
        <v>1613</v>
      </c>
      <c r="F695">
        <v>48</v>
      </c>
      <c r="G695" t="s">
        <v>1596</v>
      </c>
    </row>
    <row r="696" spans="1:7" x14ac:dyDescent="0.55000000000000004">
      <c r="A696" s="1">
        <v>40142</v>
      </c>
      <c r="B696">
        <v>2009</v>
      </c>
      <c r="C696">
        <v>11</v>
      </c>
      <c r="D696" t="s">
        <v>1614</v>
      </c>
      <c r="E696" t="s">
        <v>1613</v>
      </c>
      <c r="F696">
        <v>48</v>
      </c>
      <c r="G696" t="s">
        <v>1597</v>
      </c>
    </row>
    <row r="697" spans="1:7" x14ac:dyDescent="0.55000000000000004">
      <c r="A697" s="1">
        <v>40143</v>
      </c>
      <c r="B697">
        <v>2009</v>
      </c>
      <c r="C697">
        <v>11</v>
      </c>
      <c r="D697" t="s">
        <v>1614</v>
      </c>
      <c r="E697" t="s">
        <v>1613</v>
      </c>
      <c r="F697">
        <v>48</v>
      </c>
      <c r="G697" t="s">
        <v>1598</v>
      </c>
    </row>
    <row r="698" spans="1:7" x14ac:dyDescent="0.55000000000000004">
      <c r="A698" s="1">
        <v>40144</v>
      </c>
      <c r="B698">
        <v>2009</v>
      </c>
      <c r="C698">
        <v>11</v>
      </c>
      <c r="D698" t="s">
        <v>1614</v>
      </c>
      <c r="E698" t="s">
        <v>1613</v>
      </c>
      <c r="F698">
        <v>48</v>
      </c>
      <c r="G698" t="s">
        <v>1599</v>
      </c>
    </row>
    <row r="699" spans="1:7" x14ac:dyDescent="0.55000000000000004">
      <c r="A699" s="1">
        <v>40145</v>
      </c>
      <c r="B699">
        <v>2009</v>
      </c>
      <c r="C699">
        <v>11</v>
      </c>
      <c r="D699" t="s">
        <v>1614</v>
      </c>
      <c r="E699" t="s">
        <v>1613</v>
      </c>
      <c r="F699">
        <v>48</v>
      </c>
      <c r="G699" t="s">
        <v>1600</v>
      </c>
    </row>
    <row r="700" spans="1:7" x14ac:dyDescent="0.55000000000000004">
      <c r="A700" s="1">
        <v>40146</v>
      </c>
      <c r="B700">
        <v>2009</v>
      </c>
      <c r="C700">
        <v>11</v>
      </c>
      <c r="D700" t="s">
        <v>1614</v>
      </c>
      <c r="E700" t="s">
        <v>1613</v>
      </c>
      <c r="F700">
        <v>49</v>
      </c>
      <c r="G700" t="s">
        <v>1601</v>
      </c>
    </row>
    <row r="701" spans="1:7" x14ac:dyDescent="0.55000000000000004">
      <c r="A701" s="1">
        <v>40147</v>
      </c>
      <c r="B701">
        <v>2009</v>
      </c>
      <c r="C701">
        <v>11</v>
      </c>
      <c r="D701" t="s">
        <v>1614</v>
      </c>
      <c r="E701" t="s">
        <v>1613</v>
      </c>
      <c r="F701">
        <v>49</v>
      </c>
      <c r="G701" t="s">
        <v>1602</v>
      </c>
    </row>
    <row r="702" spans="1:7" x14ac:dyDescent="0.55000000000000004">
      <c r="A702" s="1">
        <v>40148</v>
      </c>
      <c r="B702">
        <v>2009</v>
      </c>
      <c r="C702">
        <v>12</v>
      </c>
      <c r="D702" t="s">
        <v>1615</v>
      </c>
      <c r="E702" t="s">
        <v>1613</v>
      </c>
      <c r="F702">
        <v>49</v>
      </c>
      <c r="G702" t="s">
        <v>1596</v>
      </c>
    </row>
    <row r="703" spans="1:7" x14ac:dyDescent="0.55000000000000004">
      <c r="A703" s="1">
        <v>40149</v>
      </c>
      <c r="B703">
        <v>2009</v>
      </c>
      <c r="C703">
        <v>12</v>
      </c>
      <c r="D703" t="s">
        <v>1615</v>
      </c>
      <c r="E703" t="s">
        <v>1613</v>
      </c>
      <c r="F703">
        <v>49</v>
      </c>
      <c r="G703" t="s">
        <v>1597</v>
      </c>
    </row>
    <row r="704" spans="1:7" x14ac:dyDescent="0.55000000000000004">
      <c r="A704" s="1">
        <v>40150</v>
      </c>
      <c r="B704">
        <v>2009</v>
      </c>
      <c r="C704">
        <v>12</v>
      </c>
      <c r="D704" t="s">
        <v>1615</v>
      </c>
      <c r="E704" t="s">
        <v>1613</v>
      </c>
      <c r="F704">
        <v>49</v>
      </c>
      <c r="G704" t="s">
        <v>1598</v>
      </c>
    </row>
    <row r="705" spans="1:7" x14ac:dyDescent="0.55000000000000004">
      <c r="A705" s="1">
        <v>40151</v>
      </c>
      <c r="B705">
        <v>2009</v>
      </c>
      <c r="C705">
        <v>12</v>
      </c>
      <c r="D705" t="s">
        <v>1615</v>
      </c>
      <c r="E705" t="s">
        <v>1613</v>
      </c>
      <c r="F705">
        <v>49</v>
      </c>
      <c r="G705" t="s">
        <v>1599</v>
      </c>
    </row>
    <row r="706" spans="1:7" x14ac:dyDescent="0.55000000000000004">
      <c r="A706" s="1">
        <v>40152</v>
      </c>
      <c r="B706">
        <v>2009</v>
      </c>
      <c r="C706">
        <v>12</v>
      </c>
      <c r="D706" t="s">
        <v>1615</v>
      </c>
      <c r="E706" t="s">
        <v>1613</v>
      </c>
      <c r="F706">
        <v>49</v>
      </c>
      <c r="G706" t="s">
        <v>1600</v>
      </c>
    </row>
    <row r="707" spans="1:7" x14ac:dyDescent="0.55000000000000004">
      <c r="A707" s="1">
        <v>40153</v>
      </c>
      <c r="B707">
        <v>2009</v>
      </c>
      <c r="C707">
        <v>12</v>
      </c>
      <c r="D707" t="s">
        <v>1615</v>
      </c>
      <c r="E707" t="s">
        <v>1613</v>
      </c>
      <c r="F707">
        <v>50</v>
      </c>
      <c r="G707" t="s">
        <v>1601</v>
      </c>
    </row>
    <row r="708" spans="1:7" x14ac:dyDescent="0.55000000000000004">
      <c r="A708" s="1">
        <v>40154</v>
      </c>
      <c r="B708">
        <v>2009</v>
      </c>
      <c r="C708">
        <v>12</v>
      </c>
      <c r="D708" t="s">
        <v>1615</v>
      </c>
      <c r="E708" t="s">
        <v>1613</v>
      </c>
      <c r="F708">
        <v>50</v>
      </c>
      <c r="G708" t="s">
        <v>1602</v>
      </c>
    </row>
    <row r="709" spans="1:7" x14ac:dyDescent="0.55000000000000004">
      <c r="A709" s="1">
        <v>40155</v>
      </c>
      <c r="B709">
        <v>2009</v>
      </c>
      <c r="C709">
        <v>12</v>
      </c>
      <c r="D709" t="s">
        <v>1615</v>
      </c>
      <c r="E709" t="s">
        <v>1613</v>
      </c>
      <c r="F709">
        <v>50</v>
      </c>
      <c r="G709" t="s">
        <v>1596</v>
      </c>
    </row>
    <row r="710" spans="1:7" x14ac:dyDescent="0.55000000000000004">
      <c r="A710" s="1">
        <v>40156</v>
      </c>
      <c r="B710">
        <v>2009</v>
      </c>
      <c r="C710">
        <v>12</v>
      </c>
      <c r="D710" t="s">
        <v>1615</v>
      </c>
      <c r="E710" t="s">
        <v>1613</v>
      </c>
      <c r="F710">
        <v>50</v>
      </c>
      <c r="G710" t="s">
        <v>1597</v>
      </c>
    </row>
    <row r="711" spans="1:7" x14ac:dyDescent="0.55000000000000004">
      <c r="A711" s="1">
        <v>40157</v>
      </c>
      <c r="B711">
        <v>2009</v>
      </c>
      <c r="C711">
        <v>12</v>
      </c>
      <c r="D711" t="s">
        <v>1615</v>
      </c>
      <c r="E711" t="s">
        <v>1613</v>
      </c>
      <c r="F711">
        <v>50</v>
      </c>
      <c r="G711" t="s">
        <v>1598</v>
      </c>
    </row>
    <row r="712" spans="1:7" x14ac:dyDescent="0.55000000000000004">
      <c r="A712" s="1">
        <v>40158</v>
      </c>
      <c r="B712">
        <v>2009</v>
      </c>
      <c r="C712">
        <v>12</v>
      </c>
      <c r="D712" t="s">
        <v>1615</v>
      </c>
      <c r="E712" t="s">
        <v>1613</v>
      </c>
      <c r="F712">
        <v>50</v>
      </c>
      <c r="G712" t="s">
        <v>1599</v>
      </c>
    </row>
    <row r="713" spans="1:7" x14ac:dyDescent="0.55000000000000004">
      <c r="A713" s="1">
        <v>40159</v>
      </c>
      <c r="B713">
        <v>2009</v>
      </c>
      <c r="C713">
        <v>12</v>
      </c>
      <c r="D713" t="s">
        <v>1615</v>
      </c>
      <c r="E713" t="s">
        <v>1613</v>
      </c>
      <c r="F713">
        <v>50</v>
      </c>
      <c r="G713" t="s">
        <v>1600</v>
      </c>
    </row>
    <row r="714" spans="1:7" x14ac:dyDescent="0.55000000000000004">
      <c r="A714" s="1">
        <v>40160</v>
      </c>
      <c r="B714">
        <v>2009</v>
      </c>
      <c r="C714">
        <v>12</v>
      </c>
      <c r="D714" t="s">
        <v>1615</v>
      </c>
      <c r="E714" t="s">
        <v>1613</v>
      </c>
      <c r="F714">
        <v>51</v>
      </c>
      <c r="G714" t="s">
        <v>1601</v>
      </c>
    </row>
    <row r="715" spans="1:7" x14ac:dyDescent="0.55000000000000004">
      <c r="A715" s="1">
        <v>40161</v>
      </c>
      <c r="B715">
        <v>2009</v>
      </c>
      <c r="C715">
        <v>12</v>
      </c>
      <c r="D715" t="s">
        <v>1615</v>
      </c>
      <c r="E715" t="s">
        <v>1613</v>
      </c>
      <c r="F715">
        <v>51</v>
      </c>
      <c r="G715" t="s">
        <v>1602</v>
      </c>
    </row>
    <row r="716" spans="1:7" x14ac:dyDescent="0.55000000000000004">
      <c r="A716" s="1">
        <v>40162</v>
      </c>
      <c r="B716">
        <v>2009</v>
      </c>
      <c r="C716">
        <v>12</v>
      </c>
      <c r="D716" t="s">
        <v>1615</v>
      </c>
      <c r="E716" t="s">
        <v>1613</v>
      </c>
      <c r="F716">
        <v>51</v>
      </c>
      <c r="G716" t="s">
        <v>1596</v>
      </c>
    </row>
    <row r="717" spans="1:7" x14ac:dyDescent="0.55000000000000004">
      <c r="A717" s="1">
        <v>40163</v>
      </c>
      <c r="B717">
        <v>2009</v>
      </c>
      <c r="C717">
        <v>12</v>
      </c>
      <c r="D717" t="s">
        <v>1615</v>
      </c>
      <c r="E717" t="s">
        <v>1613</v>
      </c>
      <c r="F717">
        <v>51</v>
      </c>
      <c r="G717" t="s">
        <v>1597</v>
      </c>
    </row>
    <row r="718" spans="1:7" x14ac:dyDescent="0.55000000000000004">
      <c r="A718" s="1">
        <v>40164</v>
      </c>
      <c r="B718">
        <v>2009</v>
      </c>
      <c r="C718">
        <v>12</v>
      </c>
      <c r="D718" t="s">
        <v>1615</v>
      </c>
      <c r="E718" t="s">
        <v>1613</v>
      </c>
      <c r="F718">
        <v>51</v>
      </c>
      <c r="G718" t="s">
        <v>1598</v>
      </c>
    </row>
    <row r="719" spans="1:7" x14ac:dyDescent="0.55000000000000004">
      <c r="A719" s="1">
        <v>40165</v>
      </c>
      <c r="B719">
        <v>2009</v>
      </c>
      <c r="C719">
        <v>12</v>
      </c>
      <c r="D719" t="s">
        <v>1615</v>
      </c>
      <c r="E719" t="s">
        <v>1613</v>
      </c>
      <c r="F719">
        <v>51</v>
      </c>
      <c r="G719" t="s">
        <v>1599</v>
      </c>
    </row>
    <row r="720" spans="1:7" x14ac:dyDescent="0.55000000000000004">
      <c r="A720" s="1">
        <v>40166</v>
      </c>
      <c r="B720">
        <v>2009</v>
      </c>
      <c r="C720">
        <v>12</v>
      </c>
      <c r="D720" t="s">
        <v>1615</v>
      </c>
      <c r="E720" t="s">
        <v>1613</v>
      </c>
      <c r="F720">
        <v>51</v>
      </c>
      <c r="G720" t="s">
        <v>1600</v>
      </c>
    </row>
    <row r="721" spans="1:7" x14ac:dyDescent="0.55000000000000004">
      <c r="A721" s="1">
        <v>40167</v>
      </c>
      <c r="B721">
        <v>2009</v>
      </c>
      <c r="C721">
        <v>12</v>
      </c>
      <c r="D721" t="s">
        <v>1615</v>
      </c>
      <c r="E721" t="s">
        <v>1613</v>
      </c>
      <c r="F721">
        <v>52</v>
      </c>
      <c r="G721" t="s">
        <v>1601</v>
      </c>
    </row>
    <row r="722" spans="1:7" x14ac:dyDescent="0.55000000000000004">
      <c r="A722" s="1">
        <v>40168</v>
      </c>
      <c r="B722">
        <v>2009</v>
      </c>
      <c r="C722">
        <v>12</v>
      </c>
      <c r="D722" t="s">
        <v>1615</v>
      </c>
      <c r="E722" t="s">
        <v>1613</v>
      </c>
      <c r="F722">
        <v>52</v>
      </c>
      <c r="G722" t="s">
        <v>1602</v>
      </c>
    </row>
    <row r="723" spans="1:7" x14ac:dyDescent="0.55000000000000004">
      <c r="A723" s="1">
        <v>40169</v>
      </c>
      <c r="B723">
        <v>2009</v>
      </c>
      <c r="C723">
        <v>12</v>
      </c>
      <c r="D723" t="s">
        <v>1615</v>
      </c>
      <c r="E723" t="s">
        <v>1613</v>
      </c>
      <c r="F723">
        <v>52</v>
      </c>
      <c r="G723" t="s">
        <v>1596</v>
      </c>
    </row>
    <row r="724" spans="1:7" x14ac:dyDescent="0.55000000000000004">
      <c r="A724" s="1">
        <v>40170</v>
      </c>
      <c r="B724">
        <v>2009</v>
      </c>
      <c r="C724">
        <v>12</v>
      </c>
      <c r="D724" t="s">
        <v>1615</v>
      </c>
      <c r="E724" t="s">
        <v>1613</v>
      </c>
      <c r="F724">
        <v>52</v>
      </c>
      <c r="G724" t="s">
        <v>1597</v>
      </c>
    </row>
    <row r="725" spans="1:7" x14ac:dyDescent="0.55000000000000004">
      <c r="A725" s="1">
        <v>40171</v>
      </c>
      <c r="B725">
        <v>2009</v>
      </c>
      <c r="C725">
        <v>12</v>
      </c>
      <c r="D725" t="s">
        <v>1615</v>
      </c>
      <c r="E725" t="s">
        <v>1613</v>
      </c>
      <c r="F725">
        <v>52</v>
      </c>
      <c r="G725" t="s">
        <v>1598</v>
      </c>
    </row>
    <row r="726" spans="1:7" x14ac:dyDescent="0.55000000000000004">
      <c r="A726" s="1">
        <v>40172</v>
      </c>
      <c r="B726">
        <v>2009</v>
      </c>
      <c r="C726">
        <v>12</v>
      </c>
      <c r="D726" t="s">
        <v>1615</v>
      </c>
      <c r="E726" t="s">
        <v>1613</v>
      </c>
      <c r="F726">
        <v>52</v>
      </c>
      <c r="G726" t="s">
        <v>1599</v>
      </c>
    </row>
    <row r="727" spans="1:7" x14ac:dyDescent="0.55000000000000004">
      <c r="A727" s="1">
        <v>40173</v>
      </c>
      <c r="B727">
        <v>2009</v>
      </c>
      <c r="C727">
        <v>12</v>
      </c>
      <c r="D727" t="s">
        <v>1615</v>
      </c>
      <c r="E727" t="s">
        <v>1613</v>
      </c>
      <c r="F727">
        <v>52</v>
      </c>
      <c r="G727" t="s">
        <v>1600</v>
      </c>
    </row>
    <row r="728" spans="1:7" x14ac:dyDescent="0.55000000000000004">
      <c r="A728" s="1">
        <v>40174</v>
      </c>
      <c r="B728">
        <v>2009</v>
      </c>
      <c r="C728">
        <v>12</v>
      </c>
      <c r="D728" t="s">
        <v>1615</v>
      </c>
      <c r="E728" t="s">
        <v>1613</v>
      </c>
      <c r="F728">
        <v>53</v>
      </c>
      <c r="G728" t="s">
        <v>1601</v>
      </c>
    </row>
    <row r="729" spans="1:7" x14ac:dyDescent="0.55000000000000004">
      <c r="A729" s="1">
        <v>40175</v>
      </c>
      <c r="B729">
        <v>2009</v>
      </c>
      <c r="C729">
        <v>12</v>
      </c>
      <c r="D729" t="s">
        <v>1615</v>
      </c>
      <c r="E729" t="s">
        <v>1613</v>
      </c>
      <c r="F729">
        <v>53</v>
      </c>
      <c r="G729" t="s">
        <v>1602</v>
      </c>
    </row>
    <row r="730" spans="1:7" x14ac:dyDescent="0.55000000000000004">
      <c r="A730" s="1">
        <v>40176</v>
      </c>
      <c r="B730">
        <v>2009</v>
      </c>
      <c r="C730">
        <v>12</v>
      </c>
      <c r="D730" t="s">
        <v>1615</v>
      </c>
      <c r="E730" t="s">
        <v>1613</v>
      </c>
      <c r="F730">
        <v>53</v>
      </c>
      <c r="G730" t="s">
        <v>1596</v>
      </c>
    </row>
    <row r="731" spans="1:7" x14ac:dyDescent="0.55000000000000004">
      <c r="A731" s="1">
        <v>40177</v>
      </c>
      <c r="B731">
        <v>2009</v>
      </c>
      <c r="C731">
        <v>12</v>
      </c>
      <c r="D731" t="s">
        <v>1615</v>
      </c>
      <c r="E731" t="s">
        <v>1613</v>
      </c>
      <c r="F731">
        <v>53</v>
      </c>
      <c r="G731" t="s">
        <v>1597</v>
      </c>
    </row>
    <row r="732" spans="1:7" x14ac:dyDescent="0.55000000000000004">
      <c r="A732" s="1">
        <v>40178</v>
      </c>
      <c r="B732">
        <v>2009</v>
      </c>
      <c r="C732">
        <v>12</v>
      </c>
      <c r="D732" t="s">
        <v>1615</v>
      </c>
      <c r="E732" t="s">
        <v>1613</v>
      </c>
      <c r="F732">
        <v>53</v>
      </c>
      <c r="G732" t="s">
        <v>1598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431CA3AE-90AB-490D-9865-2B6558D6B446}">
  <ds:schemaRefs/>
</ds:datastoreItem>
</file>

<file path=customXml/itemProps2.xml><?xml version="1.0" encoding="utf-8"?>
<ds:datastoreItem xmlns:ds="http://schemas.openxmlformats.org/officeDocument/2006/customXml" ds:itemID="{3FD4A5B3-8AEE-47CC-9A0E-A5361278E524}">
  <ds:schemaRefs/>
</ds:datastoreItem>
</file>

<file path=customXml/itemProps3.xml><?xml version="1.0" encoding="utf-8"?>
<ds:datastoreItem xmlns:ds="http://schemas.openxmlformats.org/officeDocument/2006/customXml" ds:itemID="{B45E3D3A-D88D-4EA3-9ADA-F07EA2ED150B}">
  <ds:schemaRefs/>
</ds:datastoreItem>
</file>

<file path=customXml/itemProps4.xml><?xml version="1.0" encoding="utf-8"?>
<ds:datastoreItem xmlns:ds="http://schemas.openxmlformats.org/officeDocument/2006/customXml" ds:itemID="{4D98091D-4A08-4A8B-9927-CBB8FD480A3B}">
  <ds:schemaRefs/>
</ds:datastoreItem>
</file>

<file path=customXml/itemProps5.xml><?xml version="1.0" encoding="utf-8"?>
<ds:datastoreItem xmlns:ds="http://schemas.openxmlformats.org/officeDocument/2006/customXml" ds:itemID="{724761B7-3BC7-4BE2-8B14-199FC61EB442}">
  <ds:schemaRefs/>
</ds:datastoreItem>
</file>

<file path=customXml/itemProps6.xml><?xml version="1.0" encoding="utf-8"?>
<ds:datastoreItem xmlns:ds="http://schemas.openxmlformats.org/officeDocument/2006/customXml" ds:itemID="{517566C9-95B6-404F-A4DB-6CFE2054275F}">
  <ds:schemaRefs/>
</ds:datastoreItem>
</file>

<file path=customXml/itemProps7.xml><?xml version="1.0" encoding="utf-8"?>
<ds:datastoreItem xmlns:ds="http://schemas.openxmlformats.org/officeDocument/2006/customXml" ds:itemID="{28198AD6-5887-4192-A58E-A5E20526F99A}">
  <ds:schemaRefs/>
</ds:datastoreItem>
</file>

<file path=customXml/itemProps8.xml><?xml version="1.0" encoding="utf-8"?>
<ds:datastoreItem xmlns:ds="http://schemas.openxmlformats.org/officeDocument/2006/customXml" ds:itemID="{6B115B7B-ACE5-4F8F-BEE9-770E5CD74CE7}">
  <ds:schemaRefs/>
</ds:datastoreItem>
</file>

<file path=customXml/itemProps9.xml><?xml version="1.0" encoding="utf-8"?>
<ds:datastoreItem xmlns:ds="http://schemas.openxmlformats.org/officeDocument/2006/customXml" ds:itemID="{C8461FA0-CEFB-4C07-B6F9-547C78608028}">
  <ds:schemaRefs/>
</ds:datastoreItem>
</file>

<file path=customXml/itemProps10.xml><?xml version="1.0" encoding="utf-8"?>
<ds:datastoreItem xmlns:ds="http://schemas.openxmlformats.org/officeDocument/2006/customXml" ds:itemID="{064E7863-1945-4F90-A3BC-930B47C50FBD}">
  <ds:schemaRefs/>
</ds:datastoreItem>
</file>

<file path=customXml/itemProps11.xml><?xml version="1.0" encoding="utf-8"?>
<ds:datastoreItem xmlns:ds="http://schemas.openxmlformats.org/officeDocument/2006/customXml" ds:itemID="{1E1BEA86-74F5-44F7-A328-DDD9BDA776C1}">
  <ds:schemaRefs/>
</ds:datastoreItem>
</file>

<file path=customXml/itemProps12.xml><?xml version="1.0" encoding="utf-8"?>
<ds:datastoreItem xmlns:ds="http://schemas.openxmlformats.org/officeDocument/2006/customXml" ds:itemID="{437B5B25-1C5B-45F6-92A9-8171F67D21C8}">
  <ds:schemaRefs/>
</ds:datastoreItem>
</file>

<file path=customXml/itemProps13.xml><?xml version="1.0" encoding="utf-8"?>
<ds:datastoreItem xmlns:ds="http://schemas.openxmlformats.org/officeDocument/2006/customXml" ds:itemID="{4430910B-C80E-4BFB-B861-F92BAD67217A}">
  <ds:schemaRefs/>
</ds:datastoreItem>
</file>

<file path=customXml/itemProps14.xml><?xml version="1.0" encoding="utf-8"?>
<ds:datastoreItem xmlns:ds="http://schemas.openxmlformats.org/officeDocument/2006/customXml" ds:itemID="{D8C03E1F-3178-41C8-9534-39A125BA578A}">
  <ds:schemaRefs>
    <ds:schemaRef ds:uri="http://schemas.microsoft.com/DataMashup"/>
  </ds:schemaRefs>
</ds:datastoreItem>
</file>

<file path=customXml/itemProps15.xml><?xml version="1.0" encoding="utf-8"?>
<ds:datastoreItem xmlns:ds="http://schemas.openxmlformats.org/officeDocument/2006/customXml" ds:itemID="{ACE82035-95D1-4C90-9908-371D69525C47}">
  <ds:schemaRefs/>
</ds:datastoreItem>
</file>

<file path=customXml/itemProps16.xml><?xml version="1.0" encoding="utf-8"?>
<ds:datastoreItem xmlns:ds="http://schemas.openxmlformats.org/officeDocument/2006/customXml" ds:itemID="{8C1261AD-7C42-4EC1-BCBC-A669AC9C7880}">
  <ds:schemaRefs/>
</ds:datastoreItem>
</file>

<file path=customXml/itemProps17.xml><?xml version="1.0" encoding="utf-8"?>
<ds:datastoreItem xmlns:ds="http://schemas.openxmlformats.org/officeDocument/2006/customXml" ds:itemID="{02BFA5B1-537E-4DFA-B242-30CF68FA2AB9}">
  <ds:schemaRefs/>
</ds:datastoreItem>
</file>

<file path=customXml/itemProps18.xml><?xml version="1.0" encoding="utf-8"?>
<ds:datastoreItem xmlns:ds="http://schemas.openxmlformats.org/officeDocument/2006/customXml" ds:itemID="{20FF7192-11C7-4433-BA37-44CB88FE32F7}">
  <ds:schemaRefs/>
</ds:datastoreItem>
</file>

<file path=customXml/itemProps19.xml><?xml version="1.0" encoding="utf-8"?>
<ds:datastoreItem xmlns:ds="http://schemas.openxmlformats.org/officeDocument/2006/customXml" ds:itemID="{9526ACE1-88CE-4747-BFAD-968B7FE5E3C5}">
  <ds:schemaRefs/>
</ds:datastoreItem>
</file>

<file path=customXml/itemProps20.xml><?xml version="1.0" encoding="utf-8"?>
<ds:datastoreItem xmlns:ds="http://schemas.openxmlformats.org/officeDocument/2006/customXml" ds:itemID="{8842D177-DAFE-4010-B503-881C335F9FF3}">
  <ds:schemaRefs/>
</ds:datastoreItem>
</file>

<file path=customXml/itemProps21.xml><?xml version="1.0" encoding="utf-8"?>
<ds:datastoreItem xmlns:ds="http://schemas.openxmlformats.org/officeDocument/2006/customXml" ds:itemID="{9D98F1BF-9ED5-4A16-B396-274C60FC11D1}">
  <ds:schemaRefs/>
</ds:datastoreItem>
</file>

<file path=customXml/itemProps22.xml><?xml version="1.0" encoding="utf-8"?>
<ds:datastoreItem xmlns:ds="http://schemas.openxmlformats.org/officeDocument/2006/customXml" ds:itemID="{D21BD3EA-8550-47F5-8FDE-6FB3F4E02353}">
  <ds:schemaRefs/>
</ds:datastoreItem>
</file>

<file path=customXml/itemProps23.xml><?xml version="1.0" encoding="utf-8"?>
<ds:datastoreItem xmlns:ds="http://schemas.openxmlformats.org/officeDocument/2006/customXml" ds:itemID="{B592B03D-8824-4EFF-B01B-292B460B1816}">
  <ds:schemaRefs/>
</ds:datastoreItem>
</file>

<file path=customXml/itemProps24.xml><?xml version="1.0" encoding="utf-8"?>
<ds:datastoreItem xmlns:ds="http://schemas.openxmlformats.org/officeDocument/2006/customXml" ds:itemID="{675C0391-65E9-49B6-9F7A-E3876710194B}">
  <ds:schemaRefs/>
</ds:datastoreItem>
</file>

<file path=customXml/itemProps25.xml><?xml version="1.0" encoding="utf-8"?>
<ds:datastoreItem xmlns:ds="http://schemas.openxmlformats.org/officeDocument/2006/customXml" ds:itemID="{0CA13380-405C-468F-A079-F24C0F1DF2E1}">
  <ds:schemaRefs/>
</ds:datastoreItem>
</file>

<file path=customXml/itemProps26.xml><?xml version="1.0" encoding="utf-8"?>
<ds:datastoreItem xmlns:ds="http://schemas.openxmlformats.org/officeDocument/2006/customXml" ds:itemID="{79825C26-EF3D-414B-B3CF-E35DE71AC998}">
  <ds:schemaRefs/>
</ds:datastoreItem>
</file>

<file path=customXml/itemProps27.xml><?xml version="1.0" encoding="utf-8"?>
<ds:datastoreItem xmlns:ds="http://schemas.openxmlformats.org/officeDocument/2006/customXml" ds:itemID="{6E98ABBE-5586-49A0-B76D-6F179A61263E}">
  <ds:schemaRefs/>
</ds:datastoreItem>
</file>

<file path=customXml/itemProps28.xml><?xml version="1.0" encoding="utf-8"?>
<ds:datastoreItem xmlns:ds="http://schemas.openxmlformats.org/officeDocument/2006/customXml" ds:itemID="{79EDB7BE-F33A-4B44-BF13-B8088CB541E6}">
  <ds:schemaRefs/>
</ds:datastoreItem>
</file>

<file path=customXml/itemProps29.xml><?xml version="1.0" encoding="utf-8"?>
<ds:datastoreItem xmlns:ds="http://schemas.openxmlformats.org/officeDocument/2006/customXml" ds:itemID="{A6D1FA72-A82E-46B8-89C8-C9BECED7CE63}">
  <ds:schemaRefs/>
</ds:datastoreItem>
</file>

<file path=customXml/itemProps30.xml><?xml version="1.0" encoding="utf-8"?>
<ds:datastoreItem xmlns:ds="http://schemas.openxmlformats.org/officeDocument/2006/customXml" ds:itemID="{4670E73C-80BD-4ACA-843C-8C713FEA81BE}">
  <ds:schemaRefs/>
</ds:datastoreItem>
</file>

<file path=customXml/itemProps31.xml><?xml version="1.0" encoding="utf-8"?>
<ds:datastoreItem xmlns:ds="http://schemas.openxmlformats.org/officeDocument/2006/customXml" ds:itemID="{D21A42D0-8A49-4676-937D-5520622E30A4}">
  <ds:schemaRefs/>
</ds:datastoreItem>
</file>

<file path=customXml/itemProps32.xml><?xml version="1.0" encoding="utf-8"?>
<ds:datastoreItem xmlns:ds="http://schemas.openxmlformats.org/officeDocument/2006/customXml" ds:itemID="{666BFC8C-1EAA-41CE-A302-7240C70B7151}">
  <ds:schemaRefs/>
</ds:datastoreItem>
</file>

<file path=customXml/itemProps33.xml><?xml version="1.0" encoding="utf-8"?>
<ds:datastoreItem xmlns:ds="http://schemas.openxmlformats.org/officeDocument/2006/customXml" ds:itemID="{C8D9401A-7F2A-4E30-85D8-AE3A8F1CAA1E}">
  <ds:schemaRefs/>
</ds:datastoreItem>
</file>

<file path=customXml/itemProps34.xml><?xml version="1.0" encoding="utf-8"?>
<ds:datastoreItem xmlns:ds="http://schemas.openxmlformats.org/officeDocument/2006/customXml" ds:itemID="{09DB0180-85D1-467C-967D-2DCE41EB389E}">
  <ds:schemaRefs/>
</ds:datastoreItem>
</file>

<file path=customXml/itemProps35.xml><?xml version="1.0" encoding="utf-8"?>
<ds:datastoreItem xmlns:ds="http://schemas.openxmlformats.org/officeDocument/2006/customXml" ds:itemID="{BB7EE430-A8F5-426C-A564-1D6EB648AD34}">
  <ds:schemaRefs/>
</ds:datastoreItem>
</file>

<file path=customXml/itemProps36.xml><?xml version="1.0" encoding="utf-8"?>
<ds:datastoreItem xmlns:ds="http://schemas.openxmlformats.org/officeDocument/2006/customXml" ds:itemID="{35D28F45-FC9E-4623-843E-BC9EA8C00B7E}">
  <ds:schemaRefs/>
</ds:datastoreItem>
</file>

<file path=customXml/itemProps37.xml><?xml version="1.0" encoding="utf-8"?>
<ds:datastoreItem xmlns:ds="http://schemas.openxmlformats.org/officeDocument/2006/customXml" ds:itemID="{9F61E6F0-0C51-4FE5-AA89-816EDF147871}">
  <ds:schemaRefs/>
</ds:datastoreItem>
</file>

<file path=customXml/itemProps38.xml><?xml version="1.0" encoding="utf-8"?>
<ds:datastoreItem xmlns:ds="http://schemas.openxmlformats.org/officeDocument/2006/customXml" ds:itemID="{307E150F-5AC0-46CD-A8DC-BA88AFC18F13}">
  <ds:schemaRefs/>
</ds:datastoreItem>
</file>

<file path=customXml/itemProps39.xml><?xml version="1.0" encoding="utf-8"?>
<ds:datastoreItem xmlns:ds="http://schemas.openxmlformats.org/officeDocument/2006/customXml" ds:itemID="{488DAF18-287A-4939-95E6-92128282B395}">
  <ds:schemaRefs/>
</ds:datastoreItem>
</file>

<file path=customXml/itemProps40.xml><?xml version="1.0" encoding="utf-8"?>
<ds:datastoreItem xmlns:ds="http://schemas.openxmlformats.org/officeDocument/2006/customXml" ds:itemID="{EAF6E401-F2D5-4F19-8D27-87D59E49B0F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Fact-Sales</vt:lpstr>
      <vt:lpstr>vw_FactSales</vt:lpstr>
      <vt:lpstr>Dim-Customer</vt:lpstr>
      <vt:lpstr>vw_DimCustomer</vt:lpstr>
      <vt:lpstr>Dim-Product</vt:lpstr>
      <vt:lpstr>vw_DimProduct</vt:lpstr>
      <vt:lpstr>D-Date</vt:lpstr>
      <vt:lpstr>Pivot Tabeles</vt:lpstr>
      <vt:lpstr>DashBoard</vt:lpstr>
      <vt:lpstr>vw_DimDate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Hamed Magdy</cp:lastModifiedBy>
  <dcterms:created xsi:type="dcterms:W3CDTF">2025-10-15T19:59:52Z</dcterms:created>
  <dcterms:modified xsi:type="dcterms:W3CDTF">2025-12-23T22:27:43Z</dcterms:modified>
</cp:coreProperties>
</file>